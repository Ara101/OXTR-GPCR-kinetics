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one\Desktop\GitHub\Meta-analysis-for-OXTR-trafficking\data\"/>
    </mc:Choice>
  </mc:AlternateContent>
  <xr:revisionPtr revIDLastSave="0" documentId="13_ncr:1_{CE06438D-4126-4317-9017-F8CB85065988}" xr6:coauthVersionLast="47" xr6:coauthVersionMax="47" xr10:uidLastSave="{00000000-0000-0000-0000-000000000000}"/>
  <bookViews>
    <workbookView xWindow="22932" yWindow="-108" windowWidth="23256" windowHeight="14616" activeTab="1" xr2:uid="{00000000-000D-0000-FFFF-FFFF00000000}"/>
  </bookViews>
  <sheets>
    <sheet name="Namkung et al. 2018_Fig2G_kon_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E16" i="2"/>
  <c r="F10" i="2"/>
</calcChain>
</file>

<file path=xl/sharedStrings.xml><?xml version="1.0" encoding="utf-8"?>
<sst xmlns="http://schemas.openxmlformats.org/spreadsheetml/2006/main" count="9" uniqueCount="8">
  <si>
    <t>X</t>
  </si>
  <si>
    <t>Y</t>
  </si>
  <si>
    <t>Time</t>
  </si>
  <si>
    <t>Value at 50%</t>
  </si>
  <si>
    <t>Time at 50%</t>
  </si>
  <si>
    <t>ln2/ t1/2</t>
  </si>
  <si>
    <t>time -t(0)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</si>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</sst>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17.390999999999998</c:v>
                </c:pt>
                <c:pt idx="1">
                  <c:v>23.913</c:v>
                </c:pt>
                <c:pt idx="2">
                  <c:v>40.216999999999999</c:v>
                </c:pt>
                <c:pt idx="3">
                  <c:v>53.804000000000002</c:v>
                </c:pt>
                <c:pt idx="4">
                  <c:v>72.825999999999993</c:v>
                </c:pt>
                <c:pt idx="5">
                  <c:v>102.717</c:v>
                </c:pt>
                <c:pt idx="6">
                  <c:v>128.261</c:v>
                </c:pt>
                <c:pt idx="7">
                  <c:v>154.89099999999999</c:v>
                </c:pt>
                <c:pt idx="8">
                  <c:v>180.435</c:v>
                </c:pt>
                <c:pt idx="9">
                  <c:v>216.84800000000001</c:v>
                </c:pt>
                <c:pt idx="10">
                  <c:v>245.65199999999999</c:v>
                </c:pt>
                <c:pt idx="11">
                  <c:v>273.37</c:v>
                </c:pt>
                <c:pt idx="12">
                  <c:v>273.37</c:v>
                </c:pt>
                <c:pt idx="13">
                  <c:v>302.17399999999998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3.5000000000000003E-2</c:v>
                </c:pt>
                <c:pt idx="1">
                  <c:v>4.7E-2</c:v>
                </c:pt>
                <c:pt idx="2">
                  <c:v>5.6000000000000001E-2</c:v>
                </c:pt>
                <c:pt idx="3">
                  <c:v>0.06</c:v>
                </c:pt>
                <c:pt idx="4">
                  <c:v>6.6000000000000003E-2</c:v>
                </c:pt>
                <c:pt idx="5">
                  <c:v>7.0999999999999994E-2</c:v>
                </c:pt>
                <c:pt idx="6">
                  <c:v>7.0999999999999994E-2</c:v>
                </c:pt>
                <c:pt idx="7">
                  <c:v>7.1999999999999995E-2</c:v>
                </c:pt>
                <c:pt idx="8">
                  <c:v>7.1999999999999995E-2</c:v>
                </c:pt>
                <c:pt idx="9">
                  <c:v>7.1999999999999995E-2</c:v>
                </c:pt>
                <c:pt idx="10">
                  <c:v>7.1999999999999995E-2</c:v>
                </c:pt>
                <c:pt idx="11">
                  <c:v>7.1999999999999995E-2</c:v>
                </c:pt>
                <c:pt idx="12">
                  <c:v>7.1999999999999995E-2</c:v>
                </c:pt>
                <c:pt idx="13">
                  <c:v>7.1999999999999995E-2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10-427E-9943-00E0A33D8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69679"/>
        <c:axId val="1002689663"/>
      </c:scatterChart>
      <c:valAx>
        <c:axId val="100766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689663"/>
        <c:crosses val="autoZero"/>
        <c:crossBetween val="midCat"/>
      </c:valAx>
      <c:valAx>
        <c:axId val="10026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6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</xdr:row>
      <xdr:rowOff>106680</xdr:rowOff>
    </xdr:from>
    <xdr:to>
      <xdr:col>15</xdr:col>
      <xdr:colOff>228600</xdr:colOff>
      <xdr:row>23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E63965-DB48-86DF-30F7-64320937F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F20" sqref="A1:F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17.390999999999998</v>
      </c>
      <c r="B2">
        <v>3.5000000000000003E-2</v>
      </c>
    </row>
    <row r="3" spans="1:2" x14ac:dyDescent="0.25">
      <c r="A3">
        <v>23.913</v>
      </c>
      <c r="B3">
        <v>4.7E-2</v>
      </c>
    </row>
    <row r="4" spans="1:2" x14ac:dyDescent="0.25">
      <c r="A4">
        <v>40.216999999999999</v>
      </c>
      <c r="B4">
        <v>5.6000000000000001E-2</v>
      </c>
    </row>
    <row r="5" spans="1:2" x14ac:dyDescent="0.25">
      <c r="A5">
        <v>53.804000000000002</v>
      </c>
      <c r="B5">
        <v>0.06</v>
      </c>
    </row>
    <row r="6" spans="1:2" x14ac:dyDescent="0.25">
      <c r="A6">
        <v>72.825999999999993</v>
      </c>
      <c r="B6">
        <v>6.6000000000000003E-2</v>
      </c>
    </row>
    <row r="7" spans="1:2" x14ac:dyDescent="0.25">
      <c r="A7">
        <v>102.717</v>
      </c>
      <c r="B7">
        <v>7.0999999999999994E-2</v>
      </c>
    </row>
    <row r="8" spans="1:2" x14ac:dyDescent="0.25">
      <c r="A8">
        <v>128.261</v>
      </c>
      <c r="B8">
        <v>7.0999999999999994E-2</v>
      </c>
    </row>
    <row r="9" spans="1:2" x14ac:dyDescent="0.25">
      <c r="A9">
        <v>154.89099999999999</v>
      </c>
      <c r="B9">
        <v>7.1999999999999995E-2</v>
      </c>
    </row>
    <row r="10" spans="1:2" x14ac:dyDescent="0.25">
      <c r="A10">
        <v>180.435</v>
      </c>
      <c r="B10">
        <v>7.1999999999999995E-2</v>
      </c>
    </row>
    <row r="11" spans="1:2" x14ac:dyDescent="0.25">
      <c r="A11">
        <v>216.84800000000001</v>
      </c>
      <c r="B11">
        <v>7.1999999999999995E-2</v>
      </c>
    </row>
    <row r="12" spans="1:2" x14ac:dyDescent="0.25">
      <c r="A12">
        <v>245.65199999999999</v>
      </c>
      <c r="B12">
        <v>7.1999999999999995E-2</v>
      </c>
    </row>
    <row r="13" spans="1:2" x14ac:dyDescent="0.25">
      <c r="A13">
        <v>273.37</v>
      </c>
      <c r="B13">
        <v>7.1999999999999995E-2</v>
      </c>
    </row>
    <row r="14" spans="1:2" x14ac:dyDescent="0.25">
      <c r="A14">
        <v>273.37</v>
      </c>
      <c r="B14">
        <v>7.1999999999999995E-2</v>
      </c>
    </row>
    <row r="15" spans="1:2" x14ac:dyDescent="0.25">
      <c r="A15">
        <v>302.17399999999998</v>
      </c>
      <c r="B15">
        <v>7.1999999999999995E-2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abSelected="1" workbookViewId="0">
      <selection activeCell="R10" sqref="R10"/>
    </sheetView>
  </sheetViews>
  <sheetFormatPr defaultRowHeight="15" x14ac:dyDescent="0.25"/>
  <cols>
    <col min="5" max="6" width="11.140625" customWidth="1"/>
  </cols>
  <sheetData>
    <row r="1" spans="1:18" x14ac:dyDescent="0.25">
      <c r="A1" t="s">
        <v>2</v>
      </c>
      <c r="B1" t="s">
        <v>1</v>
      </c>
    </row>
    <row r="2" spans="1:18" x14ac:dyDescent="0.25">
      <c r="A2">
        <v>17.390999999999998</v>
      </c>
      <c r="B2">
        <v>3.5000000000000003E-2</v>
      </c>
    </row>
    <row r="3" spans="1:18" x14ac:dyDescent="0.25">
      <c r="A3">
        <v>23.913</v>
      </c>
      <c r="B3">
        <v>4.7E-2</v>
      </c>
    </row>
    <row r="4" spans="1:18" x14ac:dyDescent="0.25">
      <c r="A4">
        <v>40.216999999999999</v>
      </c>
      <c r="B4">
        <v>5.6000000000000001E-2</v>
      </c>
    </row>
    <row r="5" spans="1:18" x14ac:dyDescent="0.25">
      <c r="A5">
        <v>53.804000000000002</v>
      </c>
      <c r="B5">
        <v>0.06</v>
      </c>
    </row>
    <row r="6" spans="1:18" x14ac:dyDescent="0.25">
      <c r="A6">
        <v>72.825999999999993</v>
      </c>
      <c r="B6">
        <v>6.6000000000000003E-2</v>
      </c>
    </row>
    <row r="7" spans="1:18" x14ac:dyDescent="0.25">
      <c r="A7">
        <v>102.717</v>
      </c>
      <c r="B7">
        <v>7.0999999999999994E-2</v>
      </c>
    </row>
    <row r="8" spans="1:18" x14ac:dyDescent="0.25">
      <c r="A8">
        <v>128.261</v>
      </c>
      <c r="B8">
        <v>7.0999999999999994E-2</v>
      </c>
    </row>
    <row r="9" spans="1:18" x14ac:dyDescent="0.25">
      <c r="A9">
        <v>154.89099999999999</v>
      </c>
      <c r="B9">
        <v>7.1999999999999995E-2</v>
      </c>
      <c r="F9" t="s">
        <v>3</v>
      </c>
    </row>
    <row r="10" spans="1:18" x14ac:dyDescent="0.25">
      <c r="A10">
        <v>180.435</v>
      </c>
      <c r="B10">
        <v>7.1999999999999995E-2</v>
      </c>
      <c r="F10">
        <f>(MAX(B2:B15)+MIN(B2:B15))/2</f>
        <v>5.3499999999999999E-2</v>
      </c>
      <c r="R10" t="s">
        <v>7</v>
      </c>
    </row>
    <row r="11" spans="1:18" x14ac:dyDescent="0.25">
      <c r="A11">
        <v>216.84800000000001</v>
      </c>
      <c r="B11">
        <v>7.1999999999999995E-2</v>
      </c>
    </row>
    <row r="12" spans="1:18" x14ac:dyDescent="0.25">
      <c r="A12">
        <v>245.65199999999999</v>
      </c>
      <c r="B12">
        <v>7.1999999999999995E-2</v>
      </c>
      <c r="E12" t="s">
        <v>4</v>
      </c>
      <c r="F12" t="s">
        <v>5</v>
      </c>
    </row>
    <row r="13" spans="1:18" x14ac:dyDescent="0.25">
      <c r="A13">
        <v>273.37</v>
      </c>
      <c r="B13">
        <v>7.1999999999999995E-2</v>
      </c>
      <c r="E13">
        <v>40</v>
      </c>
      <c r="F13">
        <f>LN(2)/(E16*1/60)</f>
        <v>1.8394812169311652</v>
      </c>
    </row>
    <row r="14" spans="1:18" x14ac:dyDescent="0.25">
      <c r="A14">
        <v>273.37</v>
      </c>
      <c r="B14">
        <v>7.1999999999999995E-2</v>
      </c>
    </row>
    <row r="15" spans="1:18" x14ac:dyDescent="0.25">
      <c r="A15">
        <v>302.17399999999998</v>
      </c>
      <c r="B15">
        <v>7.1999999999999995E-2</v>
      </c>
      <c r="E15" t="s">
        <v>6</v>
      </c>
    </row>
    <row r="16" spans="1:18" x14ac:dyDescent="0.25">
      <c r="E16">
        <f>E13-A2</f>
        <v>22.609000000000002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Namkung et al. 2018_Fig2G_kon_g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Lionel Tukei</dc:creator>
  <cp:lastModifiedBy>K. Lionel Tukei</cp:lastModifiedBy>
  <dcterms:created xsi:type="dcterms:W3CDTF">2023-12-11T20:50:08Z</dcterms:created>
  <dcterms:modified xsi:type="dcterms:W3CDTF">2023-12-13T19:59:48Z</dcterms:modified>
</cp:coreProperties>
</file>