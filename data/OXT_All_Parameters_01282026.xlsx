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4616" tabRatio="600" firstSheet="0" activeTab="0" autoFilterDateGrouping="1"/>
  </bookViews>
  <sheets>
    <sheet xmlns:r="http://schemas.openxmlformats.org/officeDocument/2006/relationships" name="all_params" sheetId="1" state="visible" r:id="rId1"/>
    <sheet xmlns:r="http://schemas.openxmlformats.org/officeDocument/2006/relationships" name="Selected parameters" sheetId="2" state="visible" r:id="rId2"/>
    <sheet xmlns:r="http://schemas.openxmlformats.org/officeDocument/2006/relationships" name="Sheet2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6100"/>
      <sz val="11"/>
      <scheme val="minor"/>
    </font>
    <font>
      <name val="Calibri (Body)"/>
      <b val="1"/>
      <sz val="11"/>
      <vertAlign val="superscript"/>
    </font>
    <font>
      <name val="Calibri (Body)"/>
      <b val="1"/>
      <sz val="11"/>
      <vertAlign val="subscript"/>
    </font>
    <font>
      <name val="Calibri"/>
      <family val="2"/>
      <sz val="8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1"/>
      <vertAlign val="superscript"/>
      <scheme val="minor"/>
    </font>
    <font>
      <name val="Times"/>
      <family val="1"/>
      <color rgb="FF000000"/>
      <sz val="10"/>
    </font>
    <font>
      <name val="Aptos Narrow"/>
      <family val="2"/>
      <color theme="1"/>
      <sz val="11"/>
    </font>
    <font>
      <name val="Aptos Narrow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2" borderId="0"/>
  </cellStyleXfs>
  <cellXfs count="181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/>
    </xf>
    <xf numFmtId="0" fontId="4" fillId="2" borderId="1" applyAlignment="1" pivotButton="0" quotePrefix="0" xfId="1">
      <alignment horizontal="center" vertical="center"/>
    </xf>
    <xf numFmtId="0" fontId="3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11" fontId="5" fillId="3" borderId="1" applyAlignment="1" pivotButton="0" quotePrefix="0" xfId="1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8" applyAlignment="1" pivotButton="0" quotePrefix="0" xfId="1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0" applyAlignment="1" pivotButton="0" quotePrefix="0" xfId="1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1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0" fontId="6" fillId="2" borderId="14" applyAlignment="1" pivotButton="0" quotePrefix="0" xfId="1">
      <alignment horizontal="center" vertical="center"/>
    </xf>
    <xf numFmtId="0" fontId="0" fillId="2" borderId="4" applyAlignment="1" pivotButton="0" quotePrefix="0" xfId="1">
      <alignment horizontal="center" vertical="center"/>
    </xf>
    <xf numFmtId="0" fontId="5" fillId="2" borderId="12" applyAlignment="1" pivotButton="0" quotePrefix="0" xfId="1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2" borderId="14" applyAlignment="1" pivotButton="0" quotePrefix="0" xfId="1">
      <alignment horizontal="center" vertical="center"/>
    </xf>
    <xf numFmtId="0" fontId="0" fillId="0" borderId="14" pivotButton="0" quotePrefix="0" xfId="0"/>
    <xf numFmtId="0" fontId="4" fillId="2" borderId="12" applyAlignment="1" pivotButton="0" quotePrefix="0" xfId="1">
      <alignment horizontal="center" vertical="center"/>
    </xf>
    <xf numFmtId="0" fontId="6" fillId="2" borderId="12" applyAlignment="1" pivotButton="0" quotePrefix="0" xfId="1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7" fillId="2" borderId="14" applyAlignment="1" pivotButton="0" quotePrefix="0" xfId="1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7" fillId="2" borderId="14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11" fillId="0" borderId="12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19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1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/>
    </xf>
    <xf numFmtId="0" fontId="6" fillId="2" borderId="13" applyAlignment="1" pivotButton="0" quotePrefix="0" xfId="1">
      <alignment horizontal="center" vertical="center"/>
    </xf>
    <xf numFmtId="11" fontId="4" fillId="2" borderId="13" applyAlignment="1" pivotButton="0" quotePrefix="0" xfId="1">
      <alignment horizontal="center" vertical="center"/>
    </xf>
    <xf numFmtId="0" fontId="5" fillId="2" borderId="13" applyAlignment="1" pivotButton="0" quotePrefix="0" xfId="1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5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6" fillId="2" borderId="2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1" fontId="5" fillId="2" borderId="2" applyAlignment="1" pivotButton="0" quotePrefix="0" xfId="1">
      <alignment horizontal="center" vertical="center" wrapText="1"/>
    </xf>
    <xf numFmtId="11" fontId="5" fillId="2" borderId="12" applyAlignment="1" pivotButton="0" quotePrefix="0" xfId="1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5" fillId="4" borderId="24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11" fontId="5" fillId="4" borderId="27" applyAlignment="1" pivotButton="0" quotePrefix="0" xfId="0">
      <alignment horizontal="center" vertical="center" wrapText="1"/>
    </xf>
    <xf numFmtId="11" fontId="5" fillId="2" borderId="2" applyAlignment="1" pivotButton="0" quotePrefix="0" xfId="1">
      <alignment horizontal="center" vertical="center"/>
    </xf>
    <xf numFmtId="0" fontId="5" fillId="0" borderId="16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11" fontId="5" fillId="2" borderId="1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2" borderId="4" applyAlignment="1" pivotButton="0" quotePrefix="0" xfId="1">
      <alignment horizontal="center" vertical="center"/>
    </xf>
    <xf numFmtId="11" fontId="5" fillId="4" borderId="21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2" fillId="0" borderId="22" pivotButton="0" quotePrefix="0" xfId="0"/>
    <xf numFmtId="0" fontId="7" fillId="4" borderId="23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0" borderId="14" pivotButton="0" quotePrefix="0" xfId="0"/>
    <xf numFmtId="0" fontId="2" fillId="0" borderId="14" pivotButton="0" quotePrefix="0" xfId="0"/>
    <xf numFmtId="0" fontId="2" fillId="0" borderId="17" pivotButton="0" quotePrefix="0" xfId="0"/>
    <xf numFmtId="0" fontId="5" fillId="0" borderId="22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4" fillId="4" borderId="12" applyAlignment="1" pivotButton="0" quotePrefix="0" xfId="0">
      <alignment horizontal="center" vertical="center"/>
    </xf>
    <xf numFmtId="0" fontId="7" fillId="2" borderId="14" pivotButton="0" quotePrefix="0" xfId="1"/>
    <xf numFmtId="0" fontId="7" fillId="2" borderId="12" applyAlignment="1" pivotButton="0" quotePrefix="0" xfId="1">
      <alignment horizontal="center" vertical="center"/>
    </xf>
    <xf numFmtId="0" fontId="7" fillId="2" borderId="4" applyAlignment="1" pivotButton="0" quotePrefix="0" xfId="1">
      <alignment horizontal="center" vertical="center"/>
    </xf>
    <xf numFmtId="0" fontId="7" fillId="2" borderId="1" applyAlignment="1" pivotButton="0" quotePrefix="0" xfId="1">
      <alignment horizontal="center" vertical="center"/>
    </xf>
    <xf numFmtId="0" fontId="2" fillId="0" borderId="1" pivotButton="0" quotePrefix="0" xfId="0"/>
    <xf numFmtId="0" fontId="2" fillId="5" borderId="26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0" borderId="13" pivotButton="0" quotePrefix="0" xfId="0"/>
    <xf numFmtId="0" fontId="2" fillId="5" borderId="12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14" fillId="0" borderId="0" pivotButton="0" quotePrefix="0" xfId="0"/>
    <xf numFmtId="11" fontId="5" fillId="4" borderId="24" applyAlignment="1" pivotButton="0" quotePrefix="0" xfId="0">
      <alignment horizontal="center" vertical="center"/>
    </xf>
    <xf numFmtId="0" fontId="5" fillId="2" borderId="0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2" borderId="26" applyAlignment="1" pivotButton="0" quotePrefix="0" xfId="1">
      <alignment horizontal="center" vertical="center"/>
    </xf>
    <xf numFmtId="0" fontId="5" fillId="0" borderId="22" pivotButton="0" quotePrefix="0" xfId="0"/>
    <xf numFmtId="0" fontId="5" fillId="2" borderId="14" applyAlignment="1" pivotButton="0" quotePrefix="0" xfId="1">
      <alignment horizontal="center"/>
    </xf>
    <xf numFmtId="0" fontId="5" fillId="2" borderId="15" applyAlignment="1" pivotButton="0" quotePrefix="0" xfId="1">
      <alignment horizontal="center" vertical="center"/>
    </xf>
    <xf numFmtId="0" fontId="5" fillId="4" borderId="22" applyAlignment="1" pivotButton="0" quotePrefix="0" xfId="0">
      <alignment horizontal="center" vertical="center"/>
    </xf>
    <xf numFmtId="0" fontId="7" fillId="2" borderId="28" pivotButton="0" quotePrefix="0" xfId="1"/>
    <xf numFmtId="0" fontId="7" fillId="2" borderId="22" pivotButton="0" quotePrefix="0" xfId="1"/>
    <xf numFmtId="0" fontId="7" fillId="2" borderId="1" applyAlignment="1" pivotButton="0" quotePrefix="0" xfId="1">
      <alignment horizontal="center"/>
    </xf>
    <xf numFmtId="0" fontId="5" fillId="0" borderId="12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9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1" pivotButton="0" quotePrefix="0" xfId="0"/>
    <xf numFmtId="0" fontId="0" fillId="0" borderId="32" pivotButton="0" quotePrefix="0" xfId="0"/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3"/>
  <sheetViews>
    <sheetView tabSelected="1" topLeftCell="A114" zoomScale="70" zoomScaleNormal="70" zoomScaleSheetLayoutView="118" workbookViewId="0">
      <pane xSplit="1" topLeftCell="B1" activePane="topRight" state="frozen"/>
      <selection activeCell="A38" sqref="A38"/>
      <selection pane="topRight" activeCell="B138" sqref="B138"/>
    </sheetView>
  </sheetViews>
  <sheetFormatPr baseColWidth="8" defaultColWidth="8.85546875" defaultRowHeight="15"/>
  <cols>
    <col width="14.42578125" customWidth="1" style="12" min="1" max="1"/>
    <col width="27.28515625" customWidth="1" min="2" max="2"/>
    <col width="25.85546875" customWidth="1" min="3" max="3"/>
    <col width="28.42578125" customWidth="1" min="4" max="4"/>
    <col width="35.42578125" customWidth="1" min="5" max="5"/>
    <col width="37.42578125" customWidth="1" min="6" max="6"/>
    <col width="36.85546875" customWidth="1" min="7" max="7"/>
    <col width="26.42578125" customWidth="1" min="8" max="8"/>
    <col width="17" customWidth="1" min="9" max="9"/>
    <col width="21.85546875" customWidth="1" min="10" max="10"/>
    <col width="62.85546875" customWidth="1" min="11" max="11"/>
  </cols>
  <sheetData>
    <row r="1" customFormat="1" s="1">
      <c r="A1" s="1" t="inlineStr">
        <is>
          <t>Symbol</t>
        </is>
      </c>
      <c r="B1" s="1" t="inlineStr">
        <is>
          <t>Parameter</t>
        </is>
      </c>
      <c r="C1" s="1" t="inlineStr">
        <is>
          <t>Reference</t>
        </is>
      </c>
      <c r="D1" s="1" t="inlineStr">
        <is>
          <t>Binding Partner</t>
        </is>
      </c>
      <c r="E1" s="1" t="inlineStr">
        <is>
          <t>Receptor</t>
        </is>
      </c>
      <c r="F1" s="1" t="inlineStr">
        <is>
          <t>Method</t>
        </is>
      </c>
      <c r="G1" s="95" t="inlineStr">
        <is>
          <t>Ligand/Receptor Source</t>
        </is>
      </c>
      <c r="H1" s="9" t="inlineStr">
        <is>
          <t>association rate</t>
        </is>
      </c>
      <c r="I1" s="9" t="inlineStr">
        <is>
          <t>dissociation rate</t>
        </is>
      </c>
      <c r="J1" s="101" t="inlineStr">
        <is>
          <t>Kd</t>
        </is>
      </c>
      <c r="K1" s="2" t="inlineStr">
        <is>
          <t>Note</t>
        </is>
      </c>
      <c r="L1" s="2" t="inlineStr">
        <is>
          <t>SR</t>
        </is>
      </c>
      <c r="M1" s="2" t="inlineStr">
        <is>
          <t>DOI</t>
        </is>
      </c>
    </row>
    <row r="2" ht="15.75" customFormat="1" customHeight="1" s="1">
      <c r="A2" s="52" t="inlineStr">
        <is>
          <t>Kon, Koff</t>
        </is>
      </c>
      <c r="B2" s="52" t="inlineStr">
        <is>
          <t>OXT:OXTR Binding Affinity</t>
        </is>
      </c>
      <c r="C2" s="89" t="inlineStr">
        <is>
          <t>Den et al. 1981</t>
        </is>
      </c>
      <c r="D2" s="174" t="inlineStr">
        <is>
          <t>Oxytocin</t>
        </is>
      </c>
      <c r="E2" s="4" t="inlineStr">
        <is>
          <t>OXTR</t>
        </is>
      </c>
      <c r="F2" s="90" t="inlineStr">
        <is>
          <t>Radioligand Binding</t>
        </is>
      </c>
      <c r="G2" s="96" t="inlineStr">
        <is>
          <t>Myometrial (Term Human)</t>
        </is>
      </c>
      <c r="H2" s="92" t="n"/>
      <c r="I2" s="49" t="n"/>
      <c r="J2" s="102" t="inlineStr">
        <is>
          <t>1.87 ± 0.3</t>
        </is>
      </c>
      <c r="K2" s="32" t="n"/>
      <c r="M2" t="inlineStr">
        <is>
          <t>https://doi.org/10.1507/endocrj1954.28.375</t>
        </is>
      </c>
    </row>
    <row r="3" ht="15.75" customFormat="1" customHeight="1" s="1">
      <c r="A3" s="52" t="inlineStr">
        <is>
          <t>Kon, Koff</t>
        </is>
      </c>
      <c r="B3" s="52" t="inlineStr">
        <is>
          <t>OXT:OXTR Binding Affinity</t>
        </is>
      </c>
      <c r="C3" s="103" t="inlineStr">
        <is>
          <t>Rivera et al. 1990</t>
        </is>
      </c>
      <c r="D3" s="174" t="inlineStr">
        <is>
          <t>Oxytocin</t>
        </is>
      </c>
      <c r="E3" s="4" t="inlineStr">
        <is>
          <t>OXTR</t>
        </is>
      </c>
      <c r="F3" s="91" t="inlineStr">
        <is>
          <t>Radioligand Binding</t>
        </is>
      </c>
      <c r="G3" s="4" t="inlineStr">
        <is>
          <t>Myometrial (Term Human)</t>
        </is>
      </c>
      <c r="H3" s="94" t="inlineStr">
        <is>
          <t>-</t>
        </is>
      </c>
      <c r="I3" s="8" t="inlineStr">
        <is>
          <t>-</t>
        </is>
      </c>
      <c r="J3" s="10" t="inlineStr">
        <is>
          <t>0.93 ± 0.29</t>
        </is>
      </c>
      <c r="K3" s="32" t="n"/>
      <c r="M3" t="inlineStr">
        <is>
          <t>https://doi.org/10.1210/endo-127-1-155</t>
        </is>
      </c>
    </row>
    <row r="4" ht="15.75" customFormat="1" customHeight="1" s="1">
      <c r="A4" s="52" t="inlineStr">
        <is>
          <t>Kon, Koff</t>
        </is>
      </c>
      <c r="B4" s="52" t="inlineStr">
        <is>
          <t>OXT:OXTR Binding Affinity</t>
        </is>
      </c>
      <c r="C4" s="103" t="inlineStr">
        <is>
          <t>Rezapour et al. 1996</t>
        </is>
      </c>
      <c r="D4" s="174" t="inlineStr">
        <is>
          <t>Oxytocin</t>
        </is>
      </c>
      <c r="E4" s="4" t="inlineStr">
        <is>
          <t>OXTR</t>
        </is>
      </c>
      <c r="F4" s="91" t="inlineStr">
        <is>
          <t>Radioligand Binding</t>
        </is>
      </c>
      <c r="G4" s="4" t="inlineStr">
        <is>
          <t>Myometrial (Term Human)</t>
        </is>
      </c>
      <c r="H4" s="94" t="inlineStr">
        <is>
          <t>-</t>
        </is>
      </c>
      <c r="I4" s="8" t="inlineStr">
        <is>
          <t>-</t>
        </is>
      </c>
      <c r="J4" s="10" t="inlineStr">
        <is>
          <t>1.2 ± 0.21</t>
        </is>
      </c>
      <c r="K4" s="32" t="n"/>
      <c r="M4" t="inlineStr">
        <is>
          <t>https://doi.org/10.1016/0039-128X(96)00035-9</t>
        </is>
      </c>
    </row>
    <row r="5" ht="15.75" customFormat="1" customHeight="1" s="1">
      <c r="A5" s="52" t="inlineStr">
        <is>
          <t>Kon, Koff</t>
        </is>
      </c>
      <c r="B5" s="52" t="inlineStr">
        <is>
          <t>OXT:OXTR Binding Affinity</t>
        </is>
      </c>
      <c r="C5" s="103" t="inlineStr">
        <is>
          <t>Phaneuf et al. 1997</t>
        </is>
      </c>
      <c r="D5" s="85" t="inlineStr">
        <is>
          <t>Oxytocin</t>
        </is>
      </c>
      <c r="E5" s="4" t="inlineStr">
        <is>
          <t>OXTR</t>
        </is>
      </c>
      <c r="F5" s="91" t="inlineStr">
        <is>
          <t>Radioligand Binding</t>
        </is>
      </c>
      <c r="G5" s="4" t="inlineStr">
        <is>
          <t>Myometrial (Term Human)</t>
        </is>
      </c>
      <c r="H5" s="94" t="inlineStr">
        <is>
          <t>-</t>
        </is>
      </c>
      <c r="I5" s="8" t="inlineStr">
        <is>
          <t>-</t>
        </is>
      </c>
      <c r="J5" s="10" t="inlineStr">
        <is>
          <t>1.6 ± 0.00</t>
        </is>
      </c>
      <c r="K5" s="32" t="n"/>
    </row>
    <row r="6" ht="15.75" customFormat="1" customHeight="1" s="1">
      <c r="A6" s="52" t="inlineStr">
        <is>
          <t>Kon, Koff</t>
        </is>
      </c>
      <c r="B6" s="52" t="inlineStr">
        <is>
          <t>OXT:OXTR Binding Affinity</t>
        </is>
      </c>
      <c r="C6" s="103" t="inlineStr">
        <is>
          <t>Fuchs et al. 1984</t>
        </is>
      </c>
      <c r="D6" s="85" t="inlineStr">
        <is>
          <t>Oxytocin</t>
        </is>
      </c>
      <c r="E6" s="4" t="inlineStr">
        <is>
          <t>OXTR</t>
        </is>
      </c>
      <c r="F6" s="88" t="inlineStr">
        <is>
          <t>Radioligand Binding</t>
        </is>
      </c>
      <c r="G6" s="4" t="inlineStr">
        <is>
          <t>Myometrial (Term Human)</t>
        </is>
      </c>
      <c r="H6" s="8" t="n"/>
      <c r="I6" s="8" t="n"/>
      <c r="J6" s="10" t="inlineStr">
        <is>
          <t>1.7 ± 0.46</t>
        </is>
      </c>
      <c r="K6" s="32" t="n"/>
    </row>
    <row r="7" ht="17.25" customFormat="1" customHeight="1" s="1">
      <c r="A7" s="52" t="inlineStr">
        <is>
          <t>Kon, Koff</t>
        </is>
      </c>
      <c r="B7" s="52" t="inlineStr">
        <is>
          <t>OXT:OXTR Binding Affinity</t>
        </is>
      </c>
      <c r="C7" s="89" t="inlineStr">
        <is>
          <t>Den et al. 1981</t>
        </is>
      </c>
      <c r="D7" s="174" t="inlineStr">
        <is>
          <t>Oxytocin</t>
        </is>
      </c>
      <c r="E7" s="4" t="inlineStr">
        <is>
          <t>OXTR</t>
        </is>
      </c>
      <c r="F7" s="90" t="inlineStr">
        <is>
          <t>Radioligand Binding</t>
        </is>
      </c>
      <c r="G7" s="96" t="inlineStr">
        <is>
          <t>Myometrial (1st trimester Human)</t>
        </is>
      </c>
      <c r="H7" s="92" t="n"/>
      <c r="I7" s="49" t="n"/>
      <c r="J7" s="102" t="inlineStr">
        <is>
          <t>2.71 ± 1.03</t>
        </is>
      </c>
      <c r="K7" s="32" t="n"/>
      <c r="M7" t="inlineStr">
        <is>
          <t>https://doi.org/10.1507/endocrj1954.28.375</t>
        </is>
      </c>
    </row>
    <row r="8" ht="16.5" customFormat="1" customHeight="1" s="1">
      <c r="A8" s="52" t="inlineStr">
        <is>
          <t>Kon, Koff</t>
        </is>
      </c>
      <c r="B8" s="52" t="inlineStr">
        <is>
          <t>OXT:OXTR Binding Affinity</t>
        </is>
      </c>
      <c r="C8" s="89" t="inlineStr">
        <is>
          <t>Den et al. 1981</t>
        </is>
      </c>
      <c r="D8" s="174" t="inlineStr">
        <is>
          <t>Oxytocin</t>
        </is>
      </c>
      <c r="E8" s="4" t="inlineStr">
        <is>
          <t>OXTR</t>
        </is>
      </c>
      <c r="F8" s="90" t="inlineStr">
        <is>
          <t>Radioligand Binding</t>
        </is>
      </c>
      <c r="G8" s="96" t="inlineStr">
        <is>
          <t>Myometrial (Nonpregnant Human)</t>
        </is>
      </c>
      <c r="H8" s="92" t="n"/>
      <c r="I8" s="49" t="n"/>
      <c r="J8" s="102" t="inlineStr">
        <is>
          <t>3.33 ± 0.50</t>
        </is>
      </c>
      <c r="K8" s="32" t="n"/>
      <c r="M8" t="inlineStr">
        <is>
          <t>https://doi.org/10.1507/endocrj1954.28.375</t>
        </is>
      </c>
    </row>
    <row r="9" ht="15.75" customFormat="1" customHeight="1" s="1">
      <c r="A9" s="52" t="inlineStr">
        <is>
          <t>Kon, Koff</t>
        </is>
      </c>
      <c r="B9" s="52" t="inlineStr">
        <is>
          <t>OXT:OXTR Binding Affinity</t>
        </is>
      </c>
      <c r="C9" s="103" t="inlineStr">
        <is>
          <t>A. R. Fuchs et al. 1985</t>
        </is>
      </c>
      <c r="D9" s="174" t="inlineStr">
        <is>
          <t>Oxytocin</t>
        </is>
      </c>
      <c r="E9" s="4" t="inlineStr">
        <is>
          <t>OXTR</t>
        </is>
      </c>
      <c r="F9" s="90" t="inlineStr">
        <is>
          <t>Radioligand Binding</t>
        </is>
      </c>
      <c r="G9" s="96" t="inlineStr">
        <is>
          <t>Myometrial (Nonpregnant Human)</t>
        </is>
      </c>
      <c r="H9" s="93" t="inlineStr">
        <is>
          <t>-</t>
        </is>
      </c>
      <c r="I9" s="48" t="inlineStr">
        <is>
          <t>-</t>
        </is>
      </c>
      <c r="J9" s="10" t="inlineStr">
        <is>
          <t>0.96 ± 0.48</t>
        </is>
      </c>
      <c r="K9" s="100" t="n"/>
    </row>
    <row r="10" ht="15.75" customFormat="1" customHeight="1" s="1">
      <c r="A10" s="52" t="inlineStr">
        <is>
          <t>Kon, Koff</t>
        </is>
      </c>
      <c r="B10" s="52" t="inlineStr">
        <is>
          <t>OXT:OXTR Binding Affinity</t>
        </is>
      </c>
      <c r="C10" s="103" t="inlineStr">
        <is>
          <t>Gulliver 2020</t>
        </is>
      </c>
      <c r="D10" s="85" t="inlineStr">
        <is>
          <t>Oxytocin</t>
        </is>
      </c>
      <c r="E10" s="4" t="inlineStr">
        <is>
          <t>OXTR</t>
        </is>
      </c>
      <c r="F10" s="88" t="inlineStr">
        <is>
          <t>Radioligand Binding</t>
        </is>
      </c>
      <c r="G10" s="5" t="inlineStr">
        <is>
          <t>Transfected HEK293</t>
        </is>
      </c>
      <c r="H10" s="8" t="inlineStr">
        <is>
          <t>-</t>
        </is>
      </c>
      <c r="I10" s="8" t="inlineStr">
        <is>
          <t>-</t>
        </is>
      </c>
      <c r="J10" s="10" t="inlineStr">
        <is>
          <t>0.56 ± 0.00</t>
        </is>
      </c>
      <c r="K10" s="174" t="n"/>
    </row>
    <row r="11" ht="15.75" customFormat="1" customHeight="1" s="1">
      <c r="A11" s="52" t="inlineStr">
        <is>
          <t>Kon, Koff</t>
        </is>
      </c>
      <c r="B11" s="52" t="inlineStr">
        <is>
          <t>OXT:OXTR Binding Affinity</t>
        </is>
      </c>
      <c r="C11" s="103" t="inlineStr">
        <is>
          <t>Y. Waltenspühl et al. 2022</t>
        </is>
      </c>
      <c r="D11" s="174" t="inlineStr">
        <is>
          <t>Oxytocin</t>
        </is>
      </c>
      <c r="E11" s="4" t="inlineStr">
        <is>
          <t>OXTR</t>
        </is>
      </c>
      <c r="F11" s="88" t="inlineStr">
        <is>
          <t>FRET</t>
        </is>
      </c>
      <c r="G11" s="5" t="inlineStr">
        <is>
          <t>Transfected HEK293</t>
        </is>
      </c>
      <c r="H11" s="8" t="inlineStr">
        <is>
          <t>-</t>
        </is>
      </c>
      <c r="I11" s="8" t="inlineStr">
        <is>
          <t>-</t>
        </is>
      </c>
      <c r="J11" s="10" t="inlineStr">
        <is>
          <t>1.4 ± 0.20</t>
        </is>
      </c>
      <c r="K11" s="174" t="n"/>
    </row>
    <row r="12" ht="15" customFormat="1" customHeight="1" s="1">
      <c r="A12" s="52" t="inlineStr">
        <is>
          <t>Kon, Koff</t>
        </is>
      </c>
      <c r="B12" s="52" t="inlineStr">
        <is>
          <t>OXT:OXTR Binding Affinity</t>
        </is>
      </c>
      <c r="C12" s="103" t="inlineStr">
        <is>
          <t>Kojro et al. 1991</t>
        </is>
      </c>
      <c r="D12" s="85" t="inlineStr">
        <is>
          <t>Oxytocin</t>
        </is>
      </c>
      <c r="E12" s="4" t="inlineStr">
        <is>
          <t>OXTR</t>
        </is>
      </c>
      <c r="F12" s="88" t="inlineStr">
        <is>
          <t>Radioligand Binding</t>
        </is>
      </c>
      <c r="G12" s="5" t="inlineStr">
        <is>
          <t>Myometrial (Guinea Pig)</t>
        </is>
      </c>
      <c r="H12" s="8" t="inlineStr">
        <is>
          <t>-</t>
        </is>
      </c>
      <c r="I12" s="8" t="inlineStr">
        <is>
          <t>-</t>
        </is>
      </c>
      <c r="J12" s="10" t="inlineStr">
        <is>
          <t>2.6 ± 0.10</t>
        </is>
      </c>
      <c r="K12" s="177" t="n"/>
    </row>
    <row r="13" ht="15" customFormat="1" customHeight="1" s="1">
      <c r="A13" s="52" t="inlineStr">
        <is>
          <t>Kon, Koff</t>
        </is>
      </c>
      <c r="B13" s="52" t="inlineStr">
        <is>
          <t>OXT:OXTR Binding Affinity</t>
        </is>
      </c>
      <c r="C13" s="103" t="inlineStr">
        <is>
          <t>U. Klein et al 1995</t>
        </is>
      </c>
      <c r="D13" s="174" t="inlineStr">
        <is>
          <t>Oxytocin</t>
        </is>
      </c>
      <c r="E13" s="4" t="inlineStr">
        <is>
          <t>OXTR</t>
        </is>
      </c>
      <c r="F13" s="88" t="inlineStr">
        <is>
          <t>Photoaffinity labeling</t>
        </is>
      </c>
      <c r="G13" s="4" t="inlineStr">
        <is>
          <t>Myometrial (Guinea Pig)</t>
        </is>
      </c>
      <c r="H13" s="8" t="inlineStr">
        <is>
          <t>-</t>
        </is>
      </c>
      <c r="I13" s="8" t="inlineStr">
        <is>
          <t>-</t>
        </is>
      </c>
      <c r="J13" s="10" t="inlineStr">
        <is>
          <t>1.5 ± 0.00</t>
        </is>
      </c>
      <c r="K13" s="174" t="n"/>
      <c r="M13" t="inlineStr">
        <is>
          <t>https://doi.org/10.1021/bi00042a009</t>
        </is>
      </c>
    </row>
    <row r="14" ht="15.75" customFormat="1" customHeight="1" s="1">
      <c r="A14" s="52" t="inlineStr">
        <is>
          <t>Kon, Koff</t>
        </is>
      </c>
      <c r="B14" s="52" t="inlineStr">
        <is>
          <t>OXT:OXTR Binding Affinity</t>
        </is>
      </c>
      <c r="C14" s="103" t="inlineStr">
        <is>
          <t>F. Fahrenholz et al. 1988</t>
        </is>
      </c>
      <c r="D14" s="174" t="inlineStr">
        <is>
          <t>Oxytocin</t>
        </is>
      </c>
      <c r="E14" s="4" t="inlineStr">
        <is>
          <t>OXTR</t>
        </is>
      </c>
      <c r="F14" s="88" t="inlineStr">
        <is>
          <t>Photoaffinity labeling</t>
        </is>
      </c>
      <c r="G14" s="4" t="inlineStr">
        <is>
          <t>Myometrial (Guinea Pig)</t>
        </is>
      </c>
      <c r="H14" s="8" t="inlineStr">
        <is>
          <t>-</t>
        </is>
      </c>
      <c r="I14" s="8" t="inlineStr">
        <is>
          <t>-</t>
        </is>
      </c>
      <c r="J14" s="10" t="inlineStr">
        <is>
          <t>2.6 ± 0.2</t>
        </is>
      </c>
      <c r="K14" s="174" t="n"/>
      <c r="M14" t="inlineStr">
        <is>
          <t>https://doi.org/10.1111/j.1432-1033.1988.tb14065.x</t>
        </is>
      </c>
    </row>
    <row r="15" ht="15.75" customFormat="1" customHeight="1" s="4">
      <c r="A15" s="52" t="inlineStr">
        <is>
          <t>Kon, Koff</t>
        </is>
      </c>
      <c r="B15" s="52" t="inlineStr">
        <is>
          <t>OXT:OXTR Binding Affinity</t>
        </is>
      </c>
      <c r="C15" s="103" t="inlineStr">
        <is>
          <t>V. Pliska et al. 1986</t>
        </is>
      </c>
      <c r="D15" s="174" t="inlineStr">
        <is>
          <t>Oxytocin</t>
        </is>
      </c>
      <c r="E15" s="4" t="inlineStr">
        <is>
          <t>OXTR</t>
        </is>
      </c>
      <c r="F15" s="89" t="inlineStr">
        <is>
          <t>Binding Isotherm</t>
        </is>
      </c>
      <c r="G15" s="4" t="inlineStr">
        <is>
          <t>Myometrial (Cattle)</t>
        </is>
      </c>
      <c r="H15" s="8" t="inlineStr">
        <is>
          <t>-</t>
        </is>
      </c>
      <c r="I15" s="8" t="inlineStr">
        <is>
          <t>-</t>
        </is>
      </c>
      <c r="J15" s="10" t="inlineStr">
        <is>
          <t>2.52 ± 0.00</t>
        </is>
      </c>
      <c r="K15" s="174" t="n"/>
      <c r="L15" s="1" t="n"/>
      <c r="M15" s="1" t="inlineStr">
        <is>
          <t>https://doi.org/10.1016/S0021-9258(19)75988-2</t>
        </is>
      </c>
      <c r="N15" s="1" t="n"/>
      <c r="O15" s="1" t="n"/>
    </row>
    <row r="16" ht="15.75" customFormat="1" customHeight="1" s="4">
      <c r="A16" s="52" t="inlineStr">
        <is>
          <t>Kon, Koff</t>
        </is>
      </c>
      <c r="B16" s="52" t="inlineStr">
        <is>
          <t>OXT:OXTR Binding Affinity</t>
        </is>
      </c>
      <c r="C16" s="103" t="inlineStr">
        <is>
          <t>V. Pliska et al. 1986</t>
        </is>
      </c>
      <c r="D16" s="174" t="inlineStr">
        <is>
          <t>Oxytocin</t>
        </is>
      </c>
      <c r="E16" s="4" t="inlineStr">
        <is>
          <t>OXTR</t>
        </is>
      </c>
      <c r="F16" s="89" t="inlineStr">
        <is>
          <t>Binding Isotherm</t>
        </is>
      </c>
      <c r="G16" s="4" t="inlineStr">
        <is>
          <t>Myometrial (Sheep)</t>
        </is>
      </c>
      <c r="H16" s="8" t="inlineStr">
        <is>
          <t>-</t>
        </is>
      </c>
      <c r="I16" s="8" t="inlineStr">
        <is>
          <t>-</t>
        </is>
      </c>
      <c r="J16" s="10" t="inlineStr">
        <is>
          <t>4.04 ± 0.00</t>
        </is>
      </c>
      <c r="K16" s="174" t="n"/>
      <c r="L16" s="1" t="n"/>
      <c r="M16" s="1" t="inlineStr">
        <is>
          <t>https://doi.org/10.1016/S0021-9258(19)75988-2</t>
        </is>
      </c>
      <c r="N16" s="1" t="n"/>
      <c r="O16" s="1" t="n"/>
    </row>
    <row r="17" ht="15.75" customFormat="1" customHeight="1" s="4">
      <c r="A17" s="52" t="inlineStr">
        <is>
          <t>Kon, Koff</t>
        </is>
      </c>
      <c r="B17" s="52" t="inlineStr">
        <is>
          <t>OXT:OXTR Binding Affinity</t>
        </is>
      </c>
      <c r="C17" s="88" t="inlineStr">
        <is>
          <t>Anouar et al. 1996</t>
        </is>
      </c>
      <c r="D17" s="174" t="inlineStr">
        <is>
          <t>Oxytocin</t>
        </is>
      </c>
      <c r="E17" s="4" t="inlineStr">
        <is>
          <t>OXTR</t>
        </is>
      </c>
      <c r="F17" s="90" t="inlineStr">
        <is>
          <t>Radioligand Binding</t>
        </is>
      </c>
      <c r="G17" s="97" t="inlineStr">
        <is>
          <t>Myometrial (Rat)</t>
        </is>
      </c>
      <c r="H17" s="92" t="n"/>
      <c r="I17" s="49" t="n"/>
      <c r="J17" s="10" t="inlineStr">
        <is>
          <t>1.21 ± 0.34</t>
        </is>
      </c>
      <c r="K17" s="174" t="n"/>
      <c r="L17" s="1" t="n"/>
      <c r="M17" s="1" t="inlineStr">
        <is>
          <t>https://doi.org/10.1016/0014-2999(96)00258-0</t>
        </is>
      </c>
      <c r="N17" s="1" t="n"/>
      <c r="O17" s="1" t="n"/>
    </row>
    <row r="18" ht="15.75" customFormat="1" customHeight="1" s="4">
      <c r="A18" s="52" t="inlineStr">
        <is>
          <t>Kon, Koff</t>
        </is>
      </c>
      <c r="B18" s="52" t="inlineStr">
        <is>
          <t>OXT:OXTR Binding Affinity</t>
        </is>
      </c>
      <c r="C18" s="4" t="inlineStr">
        <is>
          <t>V. Pliska et al. 1986</t>
        </is>
      </c>
      <c r="D18" s="174" t="inlineStr">
        <is>
          <t>Oxytocin</t>
        </is>
      </c>
      <c r="E18" s="4" t="inlineStr">
        <is>
          <t>OXTR</t>
        </is>
      </c>
      <c r="F18" s="89" t="inlineStr">
        <is>
          <t>Binding Isotherm</t>
        </is>
      </c>
      <c r="G18" s="4" t="inlineStr">
        <is>
          <t>Myometrial (Rat)</t>
        </is>
      </c>
      <c r="H18" s="8" t="inlineStr">
        <is>
          <t>-</t>
        </is>
      </c>
      <c r="I18" s="8" t="inlineStr">
        <is>
          <t>-</t>
        </is>
      </c>
      <c r="J18" s="10" t="inlineStr">
        <is>
          <t>9.32 ± 0.00</t>
        </is>
      </c>
      <c r="K18" s="174" t="n"/>
      <c r="L18" s="1" t="n"/>
      <c r="M18" s="1" t="inlineStr">
        <is>
          <t>https://doi.org/10.1016/S0021-9258(19)75988-2</t>
        </is>
      </c>
      <c r="N18" s="1" t="n"/>
      <c r="O18" s="1" t="n"/>
    </row>
    <row r="19" ht="15.95" customFormat="1" customHeight="1" s="4">
      <c r="A19" s="1" t="n"/>
      <c r="B19" s="1" t="n"/>
      <c r="H19" s="8" t="n"/>
      <c r="I19" s="8" t="n"/>
      <c r="J19" s="10" t="n"/>
      <c r="K19" s="174" t="n"/>
      <c r="L19" s="1" t="n"/>
      <c r="M19" s="1" t="n"/>
      <c r="N19" s="1" t="n"/>
      <c r="O19" s="1" t="n"/>
    </row>
    <row r="20" customFormat="1" s="4">
      <c r="A20" s="51" t="inlineStr">
        <is>
          <t>Kong, Koffg</t>
        </is>
      </c>
      <c r="B20" s="53" t="inlineStr">
        <is>
          <t>OXR:Gprotein binding affinity</t>
        </is>
      </c>
      <c r="C20" s="7" t="inlineStr">
        <is>
          <t>Hilger et al., 2020</t>
        </is>
      </c>
      <c r="D20" s="7" t="inlineStr">
        <is>
          <t>Gs</t>
        </is>
      </c>
      <c r="E20" s="7" t="inlineStr">
        <is>
          <t>GCGR</t>
        </is>
      </c>
      <c r="F20" s="7" t="inlineStr">
        <is>
          <t>FRET</t>
        </is>
      </c>
      <c r="G20" s="104" t="inlineStr">
        <is>
          <t>HEK293 Cells</t>
        </is>
      </c>
      <c r="H20" s="87" t="n"/>
      <c r="I20" s="112" t="inlineStr">
        <is>
          <t>1.1 ± 0.00</t>
        </is>
      </c>
      <c r="J20" s="151" t="n"/>
      <c r="K20" s="164" t="n"/>
      <c r="L20" s="1" t="inlineStr">
        <is>
          <t>SR18</t>
        </is>
      </c>
      <c r="M20" s="1" t="inlineStr">
        <is>
          <t>https://doi.org/10.1126/science.aba3373</t>
        </is>
      </c>
      <c r="N20" s="1" t="n"/>
      <c r="O20" s="1" t="n"/>
    </row>
    <row r="21" ht="15.95" customFormat="1" customHeight="1" s="4">
      <c r="A21" s="51" t="inlineStr">
        <is>
          <t>Kong, Koffg</t>
        </is>
      </c>
      <c r="B21" s="53" t="inlineStr">
        <is>
          <t>OXR:Gprotein binding affinity</t>
        </is>
      </c>
      <c r="C21" s="7" t="inlineStr">
        <is>
          <t>Hilger et al., 2020</t>
        </is>
      </c>
      <c r="D21" s="7" t="inlineStr">
        <is>
          <t>Gs</t>
        </is>
      </c>
      <c r="E21" s="4" t="inlineStr">
        <is>
          <t>β2AR</t>
        </is>
      </c>
      <c r="F21" s="7" t="inlineStr">
        <is>
          <t>FRET</t>
        </is>
      </c>
      <c r="G21" s="104" t="inlineStr">
        <is>
          <t>HEK293 Cells</t>
        </is>
      </c>
      <c r="H21" s="8" t="n"/>
      <c r="I21" s="112" t="inlineStr">
        <is>
          <t>1.5 ± 0.00</t>
        </is>
      </c>
      <c r="J21" s="111" t="n"/>
      <c r="K21" s="164" t="n"/>
      <c r="L21" s="1" t="inlineStr">
        <is>
          <t>SR18</t>
        </is>
      </c>
      <c r="M21" s="1" t="inlineStr">
        <is>
          <t>https://doi.org/10.1126/science.aba3373</t>
        </is>
      </c>
      <c r="N21" s="1" t="n"/>
      <c r="O21" s="1" t="n"/>
    </row>
    <row r="22" ht="15.95" customFormat="1" customHeight="1" s="4">
      <c r="A22" s="51" t="inlineStr">
        <is>
          <t>Kong, Koffg</t>
        </is>
      </c>
      <c r="B22" s="53" t="inlineStr">
        <is>
          <t>OXR:Gprotein binding affinity</t>
        </is>
      </c>
      <c r="C22" s="165" t="inlineStr">
        <is>
          <t>Hilger et al., 2020</t>
        </is>
      </c>
      <c r="D22" s="108" t="inlineStr">
        <is>
          <t>Gs</t>
        </is>
      </c>
      <c r="E22" s="7" t="inlineStr">
        <is>
          <t>5-HT4</t>
        </is>
      </c>
      <c r="F22" s="31" t="inlineStr">
        <is>
          <t>FRET</t>
        </is>
      </c>
      <c r="G22" s="104" t="inlineStr">
        <is>
          <t>HEK293 Cells</t>
        </is>
      </c>
      <c r="H22" s="155" t="n"/>
      <c r="I22" s="8" t="inlineStr">
        <is>
          <t>0.65673202 ± 0.00</t>
        </is>
      </c>
      <c r="J22" s="8" t="n"/>
      <c r="K22" s="164" t="inlineStr">
        <is>
          <t>Manually extracted from FigS9</t>
        </is>
      </c>
      <c r="L22" s="153" t="inlineStr">
        <is>
          <t>SR18</t>
        </is>
      </c>
      <c r="M22" s="153" t="inlineStr">
        <is>
          <t>https://doi.org/10.1126/science.aba3373</t>
        </is>
      </c>
      <c r="N22" s="153" t="n"/>
      <c r="O22" s="153" t="n"/>
      <c r="P22" s="5" t="n"/>
      <c r="Q22" s="5" t="n"/>
      <c r="R22" s="5" t="n"/>
      <c r="S22" s="5" t="n"/>
      <c r="T22" s="5" t="n"/>
      <c r="U22" s="5" t="n"/>
      <c r="V22" s="5" t="n"/>
      <c r="W22" s="5" t="n"/>
    </row>
    <row r="23" ht="15.95" customFormat="1" customHeight="1" s="4">
      <c r="A23" s="51" t="inlineStr">
        <is>
          <t>Kong, Koffg</t>
        </is>
      </c>
      <c r="B23" s="53" t="inlineStr">
        <is>
          <t>OXR:Gprotein binding affinity</t>
        </is>
      </c>
      <c r="C23" s="117" t="inlineStr">
        <is>
          <t>Hilger et al., 2020</t>
        </is>
      </c>
      <c r="D23" s="108" t="inlineStr">
        <is>
          <t>Gs</t>
        </is>
      </c>
      <c r="E23" s="7" t="inlineStr">
        <is>
          <t>PGD2R</t>
        </is>
      </c>
      <c r="F23" s="31" t="inlineStr">
        <is>
          <t>FRET</t>
        </is>
      </c>
      <c r="G23" s="107" t="inlineStr">
        <is>
          <t>HEK293 Cells</t>
        </is>
      </c>
      <c r="H23" s="38" t="n"/>
      <c r="I23" s="8" t="inlineStr">
        <is>
          <t>0.560629352 ± 0.00</t>
        </is>
      </c>
      <c r="J23" s="8" t="n"/>
      <c r="K23" s="164" t="inlineStr">
        <is>
          <t>Manually extracted from FigS9</t>
        </is>
      </c>
      <c r="L23" s="153" t="inlineStr">
        <is>
          <t>SR18</t>
        </is>
      </c>
      <c r="M23" s="153" t="inlineStr">
        <is>
          <t>https://doi.org/10.1126/science.aba3373</t>
        </is>
      </c>
      <c r="N23" s="153" t="n"/>
      <c r="O23" s="153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 ht="15.95" customFormat="1" customHeight="1" s="4">
      <c r="A24" s="51" t="inlineStr">
        <is>
          <t>Kong, Koffg</t>
        </is>
      </c>
      <c r="B24" s="53" t="inlineStr">
        <is>
          <t>OXR:Gprotein binding affinity</t>
        </is>
      </c>
      <c r="C24" s="117" t="inlineStr">
        <is>
          <t>Hilger et al., 2020</t>
        </is>
      </c>
      <c r="D24" s="108" t="inlineStr">
        <is>
          <t>Gs</t>
        </is>
      </c>
      <c r="E24" s="7" t="inlineStr">
        <is>
          <t>H2R</t>
        </is>
      </c>
      <c r="F24" s="7" t="inlineStr">
        <is>
          <t>FRET</t>
        </is>
      </c>
      <c r="G24" s="154" t="inlineStr">
        <is>
          <t>HEK293 Cells</t>
        </is>
      </c>
      <c r="H24" s="38" t="n"/>
      <c r="I24" s="8" t="inlineStr">
        <is>
          <t>0.595812304 ± 0.00</t>
        </is>
      </c>
      <c r="J24" s="8" t="n"/>
      <c r="K24" s="164" t="inlineStr">
        <is>
          <t>Manually extracted from FigS9</t>
        </is>
      </c>
      <c r="L24" s="153" t="inlineStr">
        <is>
          <t>SR18</t>
        </is>
      </c>
      <c r="M24" s="153" t="inlineStr">
        <is>
          <t>https://doi.org/10.1126/science.aba3373</t>
        </is>
      </c>
      <c r="N24" s="153" t="n"/>
      <c r="O24" s="153" t="n"/>
      <c r="P24" s="5" t="n"/>
      <c r="Q24" s="5" t="n"/>
      <c r="R24" s="5" t="n"/>
      <c r="S24" s="5" t="n"/>
      <c r="T24" s="5" t="n"/>
      <c r="U24" s="5" t="n"/>
      <c r="V24" s="5" t="n"/>
      <c r="W24" s="5" t="n"/>
    </row>
    <row r="25" ht="15.95" customFormat="1" customHeight="1" s="4">
      <c r="A25" s="51" t="inlineStr">
        <is>
          <t>Kong, Koffg</t>
        </is>
      </c>
      <c r="B25" s="53" t="inlineStr">
        <is>
          <t>OXR:Gprotein binding affinity</t>
        </is>
      </c>
      <c r="C25" s="117" t="inlineStr">
        <is>
          <t>Hilger et al., 2020</t>
        </is>
      </c>
      <c r="D25" s="108" t="inlineStr">
        <is>
          <t>Gs</t>
        </is>
      </c>
      <c r="E25" s="7" t="inlineStr">
        <is>
          <t>V2R</t>
        </is>
      </c>
      <c r="F25" s="31" t="inlineStr">
        <is>
          <t>FRET</t>
        </is>
      </c>
      <c r="G25" s="107" t="inlineStr">
        <is>
          <t>HEK293 Cells</t>
        </is>
      </c>
      <c r="H25" s="38" t="n"/>
      <c r="I25" s="8" t="inlineStr">
        <is>
          <t>0.549334952 ± 0.00</t>
        </is>
      </c>
      <c r="J25" s="8" t="n"/>
      <c r="K25" s="164" t="inlineStr">
        <is>
          <t>Manually extracted from FigS9</t>
        </is>
      </c>
      <c r="L25" s="153" t="inlineStr">
        <is>
          <t>SR18</t>
        </is>
      </c>
      <c r="M25" s="153" t="inlineStr">
        <is>
          <t>https://doi.org/10.1126/science.aba3373</t>
        </is>
      </c>
      <c r="N25" s="153" t="n"/>
      <c r="O25" s="153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 ht="15.6" customFormat="1" customHeight="1" s="4">
      <c r="A26" s="51" t="inlineStr">
        <is>
          <t>Kong, Koffg</t>
        </is>
      </c>
      <c r="B26" s="53" t="inlineStr">
        <is>
          <t>OXR:Gprotein binding affinity</t>
        </is>
      </c>
      <c r="C26" s="117" t="inlineStr">
        <is>
          <t>Hilger et al., 2020</t>
        </is>
      </c>
      <c r="D26" s="108" t="inlineStr">
        <is>
          <t>Gs</t>
        </is>
      </c>
      <c r="E26" s="7" t="inlineStr">
        <is>
          <t>GLP1</t>
        </is>
      </c>
      <c r="F26" s="31" t="inlineStr">
        <is>
          <t>FRET</t>
        </is>
      </c>
      <c r="G26" s="154" t="inlineStr">
        <is>
          <t>HEK293 Cells</t>
        </is>
      </c>
      <c r="H26" s="156" t="n"/>
      <c r="I26" s="8" t="inlineStr">
        <is>
          <t>0.57725064 ± 0.00</t>
        </is>
      </c>
      <c r="J26" s="8" t="n"/>
      <c r="K26" s="164" t="inlineStr">
        <is>
          <t>Manually extracted from FigS9</t>
        </is>
      </c>
      <c r="L26" s="153" t="inlineStr">
        <is>
          <t>SR18</t>
        </is>
      </c>
      <c r="M26" s="153" t="inlineStr">
        <is>
          <t>https://doi.org/10.1126/science.aba3373</t>
        </is>
      </c>
      <c r="N26" s="153" t="n"/>
      <c r="O26" s="153" t="n"/>
      <c r="P26" s="5" t="n"/>
      <c r="Q26" s="5" t="n"/>
      <c r="R26" s="5" t="n"/>
      <c r="S26" s="5" t="n"/>
      <c r="T26" s="5" t="n"/>
      <c r="U26" s="5" t="n"/>
      <c r="V26" s="5" t="n"/>
      <c r="W26" s="5" t="n"/>
    </row>
    <row r="27" ht="15.95" customFormat="1" customHeight="1" s="4">
      <c r="A27" s="51" t="inlineStr">
        <is>
          <t>Kong, Koffg</t>
        </is>
      </c>
      <c r="B27" s="53" t="inlineStr">
        <is>
          <t>OXR:Gprotein binding affinity</t>
        </is>
      </c>
      <c r="C27" s="117" t="inlineStr">
        <is>
          <t>Hilger et al., 2020</t>
        </is>
      </c>
      <c r="D27" s="108" t="inlineStr">
        <is>
          <t>Gs</t>
        </is>
      </c>
      <c r="E27" s="7" t="inlineStr">
        <is>
          <t>PAC1R</t>
        </is>
      </c>
      <c r="F27" s="31" t="inlineStr">
        <is>
          <t>FRET</t>
        </is>
      </c>
      <c r="G27" s="154" t="inlineStr">
        <is>
          <t>HEK293 Cells</t>
        </is>
      </c>
      <c r="H27" s="38" t="n"/>
      <c r="I27" s="8" t="inlineStr">
        <is>
          <t>0.959109975 ± 0.00</t>
        </is>
      </c>
      <c r="J27" s="92" t="n"/>
      <c r="K27" s="164" t="inlineStr">
        <is>
          <t>Manually extracted from FigS9</t>
        </is>
      </c>
      <c r="L27" s="153" t="inlineStr">
        <is>
          <t>SR18</t>
        </is>
      </c>
      <c r="M27" s="153" t="inlineStr">
        <is>
          <t>https://doi.org/10.1126/science.aba3373</t>
        </is>
      </c>
      <c r="N27" s="153" t="n"/>
      <c r="O27" s="153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 ht="15.95" customFormat="1" customHeight="1" s="4">
      <c r="A28" s="51" t="inlineStr">
        <is>
          <t>Kong, Koffg</t>
        </is>
      </c>
      <c r="B28" s="53" t="inlineStr">
        <is>
          <t>OXR:Gprotein binding affinity</t>
        </is>
      </c>
      <c r="C28" s="117" t="inlineStr">
        <is>
          <t>Hilger et al., 2020</t>
        </is>
      </c>
      <c r="D28" s="108" t="inlineStr">
        <is>
          <t>Gs</t>
        </is>
      </c>
      <c r="E28" s="7" t="inlineStr">
        <is>
          <t>PTH</t>
        </is>
      </c>
      <c r="F28" s="31" t="inlineStr">
        <is>
          <t>FRET</t>
        </is>
      </c>
      <c r="G28" s="154" t="inlineStr">
        <is>
          <t>HEK293 Cells</t>
        </is>
      </c>
      <c r="H28" s="38" t="n"/>
      <c r="I28" s="8" t="inlineStr">
        <is>
          <t>0.431321867 ± 0.00</t>
        </is>
      </c>
      <c r="J28" s="8" t="n"/>
      <c r="K28" s="164" t="inlineStr">
        <is>
          <t>Manually extracted from FigS9</t>
        </is>
      </c>
      <c r="L28" s="153" t="inlineStr">
        <is>
          <t>SR18</t>
        </is>
      </c>
      <c r="M28" s="153" t="inlineStr">
        <is>
          <t>https://doi.org/10.1126/science.aba3373</t>
        </is>
      </c>
      <c r="N28" s="153" t="n"/>
      <c r="O28" s="153" t="n"/>
      <c r="P28" s="5" t="n"/>
      <c r="Q28" s="5" t="n"/>
      <c r="R28" s="5" t="n"/>
      <c r="S28" s="5" t="n"/>
      <c r="T28" s="5" t="n"/>
      <c r="U28" s="5" t="n"/>
      <c r="V28" s="5" t="n"/>
      <c r="W28" s="5" t="n"/>
    </row>
    <row r="29" ht="15.95" customFormat="1" customHeight="1" s="4">
      <c r="A29" s="51" t="inlineStr">
        <is>
          <t>Kong, Koffg</t>
        </is>
      </c>
      <c r="B29" s="53" t="inlineStr">
        <is>
          <t>OXR:Gprotein binding affinity</t>
        </is>
      </c>
      <c r="C29" s="104" t="inlineStr">
        <is>
          <t>Hein et al. 2006</t>
        </is>
      </c>
      <c r="D29" s="166" t="inlineStr">
        <is>
          <t>Gs</t>
        </is>
      </c>
      <c r="E29" s="166" t="inlineStr">
        <is>
          <t>A2AR</t>
        </is>
      </c>
      <c r="F29" s="166" t="inlineStr">
        <is>
          <t>FRET</t>
        </is>
      </c>
      <c r="G29" s="104" t="inlineStr">
        <is>
          <t>HEK293T cells</t>
        </is>
      </c>
      <c r="H29" s="121" t="n"/>
      <c r="I29" s="112" t="inlineStr">
        <is>
          <t>4.05 ± 0.00</t>
        </is>
      </c>
      <c r="J29" s="114" t="n"/>
      <c r="K29" s="167" t="inlineStr">
        <is>
          <t>k_off = 60/τ_off from receptor–Gs FRET after agonist washout (Fig. 1C–D: τ_off 14.8 ± 1.6 s A2AR, 8.4 ± 1.0 s β1AR). k_on and K_d are not curated: τ_on (49.6 / 58.1 ms) was measured at saturating 1 mM agonist and no G-protein concentration is reported, so no receptor–G protein association constant can be derived.</t>
        </is>
      </c>
      <c r="L29" s="1" t="inlineStr">
        <is>
          <t>SR17</t>
        </is>
      </c>
      <c r="M29" s="1" t="inlineStr">
        <is>
          <t>https://doi.org/10.1074/jbc.m606713200</t>
        </is>
      </c>
      <c r="N29" s="1" t="n"/>
      <c r="O29" s="1" t="n"/>
    </row>
    <row r="30" ht="15.95" customFormat="1" customHeight="1" s="4">
      <c r="A30" s="51" t="inlineStr">
        <is>
          <t>Kong, Koffg</t>
        </is>
      </c>
      <c r="B30" s="53" t="inlineStr">
        <is>
          <t>OXR:Gprotein binding affinity</t>
        </is>
      </c>
      <c r="C30" s="104" t="inlineStr">
        <is>
          <t>Hein et al. 2006</t>
        </is>
      </c>
      <c r="D30" s="166" t="inlineStr">
        <is>
          <t>Gs</t>
        </is>
      </c>
      <c r="E30" s="4" t="inlineStr">
        <is>
          <t>β1AR</t>
        </is>
      </c>
      <c r="F30" s="166" t="inlineStr">
        <is>
          <t>FRET</t>
        </is>
      </c>
      <c r="G30" s="104" t="inlineStr">
        <is>
          <t>HEK293T cells</t>
        </is>
      </c>
      <c r="H30" s="121" t="n"/>
      <c r="I30" s="112" t="inlineStr">
        <is>
          <t>7.14 ± 0.00</t>
        </is>
      </c>
      <c r="J30" s="114" t="n"/>
      <c r="K30" s="167" t="inlineStr">
        <is>
          <t>k_off = 60/τ_off from receptor–Gs FRET after agonist washout (Fig. 1C–D: τ_off 14.8 ± 1.6 s A2AR, 8.4 ± 1.0 s β1AR). k_on and K_d are not curated: τ_on (49.6 / 58.1 ms) was measured at saturating 1 mM agonist and no G-protein concentration is reported, so no receptor–G protein association constant can be derived.</t>
        </is>
      </c>
      <c r="L30" s="1" t="inlineStr">
        <is>
          <t>SR17</t>
        </is>
      </c>
      <c r="M30" s="1" t="inlineStr">
        <is>
          <t>https://doi.org/10.1074/jbc.m606713200</t>
        </is>
      </c>
      <c r="N30" s="1" t="n"/>
      <c r="O30" s="1" t="n"/>
    </row>
    <row r="31" ht="15.95" customFormat="1" customHeight="1" s="4">
      <c r="A31" s="51" t="inlineStr">
        <is>
          <t>Kong, Koffg</t>
        </is>
      </c>
      <c r="B31" s="53" t="inlineStr">
        <is>
          <t>OXR:Gprotein binding affinity</t>
        </is>
      </c>
      <c r="C31" s="104" t="inlineStr">
        <is>
          <t>Ilyaskina, et al., 2018</t>
        </is>
      </c>
      <c r="D31" s="104" t="inlineStr">
        <is>
          <t>Go</t>
        </is>
      </c>
      <c r="E31" s="104" t="inlineStr">
        <is>
          <t>M3R</t>
        </is>
      </c>
      <c r="F31" s="104" t="inlineStr">
        <is>
          <t>Quantitative FRET</t>
        </is>
      </c>
      <c r="G31" s="104" t="inlineStr">
        <is>
          <t>HEK293 Cells</t>
        </is>
      </c>
      <c r="H31" s="105" t="inlineStr">
        <is>
          <t>7783600 ± 0.00</t>
        </is>
      </c>
      <c r="I31" s="8" t="inlineStr">
        <is>
          <t>6.96 ± 1.14</t>
        </is>
      </c>
      <c r="J31" s="106" t="inlineStr">
        <is>
          <t>900 ± 0.00</t>
        </is>
      </c>
      <c r="K31" s="164" t="inlineStr">
        <is>
          <t>k_off 0.116 ± 0.019 s⁻¹ (Fig. 2B, main text) × 60 -&gt; min⁻¹</t>
        </is>
      </c>
      <c r="L31" s="1" t="inlineStr">
        <is>
          <t>SR20</t>
        </is>
      </c>
      <c r="M31" s="1" t="inlineStr">
        <is>
          <t>https://doi.org/10.1073/pnas.1715751115</t>
        </is>
      </c>
      <c r="N31" s="1" t="n"/>
      <c r="O31" s="1" t="n"/>
    </row>
    <row r="32" customFormat="1" s="4">
      <c r="A32" s="51" t="inlineStr">
        <is>
          <t>Kong, Koffg</t>
        </is>
      </c>
      <c r="B32" s="53" t="inlineStr">
        <is>
          <t>OXR:Gprotein binding affinity</t>
        </is>
      </c>
      <c r="C32" s="104" t="inlineStr">
        <is>
          <t>Ilyaskina, et al., 2018</t>
        </is>
      </c>
      <c r="D32" s="104" t="inlineStr">
        <is>
          <t>Gq</t>
        </is>
      </c>
      <c r="E32" s="104" t="inlineStr">
        <is>
          <t>M3R</t>
        </is>
      </c>
      <c r="F32" s="104" t="inlineStr">
        <is>
          <t>Quantitative FRET</t>
        </is>
      </c>
      <c r="G32" s="104" t="inlineStr">
        <is>
          <t>HEK293 Cells</t>
        </is>
      </c>
      <c r="H32" s="115" t="inlineStr">
        <is>
          <t>1346100 ± 0.00</t>
        </is>
      </c>
      <c r="I32" s="8" t="inlineStr">
        <is>
          <t>0.54 ± 0.12</t>
        </is>
      </c>
      <c r="J32" s="106" t="inlineStr">
        <is>
          <t>400 ± 0.00</t>
        </is>
      </c>
      <c r="K32" s="164" t="inlineStr">
        <is>
          <t>k_off 0.009 ± 0.002 s⁻¹ (Fig. 2B, main text) × 60 -&gt; min⁻¹ (was entered ×6 as 0.054)</t>
        </is>
      </c>
      <c r="L32" s="1" t="inlineStr">
        <is>
          <t>SR20</t>
        </is>
      </c>
      <c r="M32" s="1" t="inlineStr">
        <is>
          <t>https://doi.org/10.1073/pnas.1715751115</t>
        </is>
      </c>
      <c r="N32" s="1" t="n"/>
      <c r="O32" s="1" t="n"/>
    </row>
    <row r="33" customFormat="1" s="4">
      <c r="A33" s="51" t="inlineStr">
        <is>
          <t>Kong, Koffg</t>
        </is>
      </c>
      <c r="B33" s="53" t="inlineStr">
        <is>
          <t>OXR:Gprotein binding affinity</t>
        </is>
      </c>
      <c r="C33" s="116" t="inlineStr">
        <is>
          <t>Jensen et al., 2009</t>
        </is>
      </c>
      <c r="D33" s="116" t="inlineStr">
        <is>
          <t>Gq</t>
        </is>
      </c>
      <c r="E33" s="117" t="inlineStr">
        <is>
          <t>M1R</t>
        </is>
      </c>
      <c r="F33" s="113" t="inlineStr">
        <is>
          <t>FRET</t>
        </is>
      </c>
      <c r="G33" s="113" t="inlineStr">
        <is>
          <t>HEK293 Cells</t>
        </is>
      </c>
      <c r="H33" s="118" t="n"/>
      <c r="I33" s="111" t="inlineStr">
        <is>
          <t>16.21 ± 1.76</t>
        </is>
      </c>
      <c r="J33" s="41" t="n"/>
      <c r="K33" s="31" t="inlineStr">
        <is>
          <t>k_off = 60/τ_off, M1R-CFP/Gβ1-YFP FRET recovery, τ_off 3.7 ± 0.2 s (Table I) -&gt; min⁻¹; ± = 60/3.5 − 60/3.9. The former K_d (1.12E+03 nM) was k_off/k_on for oxo-M binding to M1R (5.6 s⁻¹ / 5.0E6 M⁻¹s⁻¹), a ligand constant, and was removed.</t>
        </is>
      </c>
      <c r="L33" s="1" t="inlineStr">
        <is>
          <t>SR22</t>
        </is>
      </c>
      <c r="M33" s="1" t="inlineStr">
        <is>
          <t>https://doi.org/10.1085/jgp.200810075</t>
        </is>
      </c>
      <c r="N33" s="1" t="n"/>
      <c r="O33" s="1" t="n"/>
    </row>
    <row r="34" ht="15" customFormat="1" customHeight="1" s="1">
      <c r="A34" s="51" t="inlineStr">
        <is>
          <t>Kong, Koffg</t>
        </is>
      </c>
      <c r="B34" s="53" t="inlineStr">
        <is>
          <t>OXR:Gprotein binding affinity</t>
        </is>
      </c>
      <c r="C34" s="119" t="inlineStr">
        <is>
          <t>Namkung et al. 2018</t>
        </is>
      </c>
      <c r="D34" s="119" t="inlineStr">
        <is>
          <t>Gq/Gi/G12</t>
        </is>
      </c>
      <c r="E34" s="119" t="inlineStr">
        <is>
          <t>AT1R</t>
        </is>
      </c>
      <c r="F34" s="119" t="inlineStr">
        <is>
          <t>BRET</t>
        </is>
      </c>
      <c r="G34" s="119" t="inlineStr">
        <is>
          <t>HEK293 Cells</t>
        </is>
      </c>
      <c r="H34" s="120" t="n"/>
      <c r="I34" s="8" t="n"/>
      <c r="J34" s="41" t="inlineStr">
        <is>
          <t>1500 ± 0.00</t>
        </is>
      </c>
      <c r="K34" s="31" t="inlineStr">
        <is>
          <t>Kdephs Figure 4b, Kphs Figure 2g</t>
        </is>
      </c>
      <c r="L34" s="4" t="inlineStr">
        <is>
          <t>SR37</t>
        </is>
      </c>
      <c r="M34" s="4" t="inlineStr">
        <is>
          <t>https://doi.org/10.1126/scisignal.aat1631</t>
        </is>
      </c>
      <c r="N34" s="4" t="n"/>
      <c r="O34" s="4" t="n"/>
    </row>
    <row r="35" customFormat="1" s="3">
      <c r="A35" s="6" t="n"/>
      <c r="B35" s="6" t="n"/>
      <c r="C35" s="1" t="n"/>
      <c r="D35" s="1" t="n"/>
      <c r="E35" s="1" t="n"/>
      <c r="F35" s="1" t="n"/>
      <c r="G35" s="1" t="n"/>
      <c r="H35" s="9" t="n"/>
      <c r="I35" s="49" t="n"/>
      <c r="J35" s="59" t="n"/>
      <c r="K35" s="60" t="n"/>
      <c r="L35" s="4" t="n"/>
      <c r="M35" s="4" t="n"/>
      <c r="N35" s="4" t="n"/>
      <c r="O35" s="4" t="n"/>
    </row>
    <row r="36" ht="45" customFormat="1" customHeight="1" s="3">
      <c r="A36" s="51" t="inlineStr">
        <is>
          <t>kp, kdp</t>
        </is>
      </c>
      <c r="B36" s="54" t="inlineStr">
        <is>
          <t>GRK-mediated phosphorylation &amp; dephosphorylation rate</t>
        </is>
      </c>
      <c r="C36" s="7" t="inlineStr">
        <is>
          <t>Hasbi, et al., 2004</t>
        </is>
      </c>
      <c r="D36" s="7" t="inlineStr">
        <is>
          <t>GRK</t>
        </is>
      </c>
      <c r="E36" s="7" t="inlineStr">
        <is>
          <t>OXTR</t>
        </is>
      </c>
      <c r="F36" s="7" t="inlineStr">
        <is>
          <t>BRET</t>
        </is>
      </c>
      <c r="G36" s="7" t="inlineStr">
        <is>
          <t>COS7 cells</t>
        </is>
      </c>
      <c r="H36" s="8" t="inlineStr">
        <is>
          <t>1.5 ± 0.00</t>
        </is>
      </c>
      <c r="I36" s="41" t="n"/>
      <c r="J36" s="38" t="n"/>
      <c r="K36" s="168" t="inlineStr">
        <is>
          <t>Note</t>
        </is>
      </c>
      <c r="L36" s="34" t="inlineStr">
        <is>
          <t>SR16</t>
        </is>
      </c>
      <c r="M36" s="4" t="inlineStr">
        <is>
          <t>https://doi.org/10.1210/me.2003-0440</t>
        </is>
      </c>
      <c r="N36" s="4" t="n"/>
      <c r="O36" s="4" t="n"/>
    </row>
    <row r="37" ht="45" customFormat="1" customHeight="1" s="4">
      <c r="A37" s="51" t="inlineStr">
        <is>
          <t>kp, kdp</t>
        </is>
      </c>
      <c r="B37" s="54" t="inlineStr">
        <is>
          <t>GRK-mediated phosphorylation &amp; dephosphorylation rate</t>
        </is>
      </c>
      <c r="C37" s="7" t="inlineStr">
        <is>
          <t>Iyer et al., 2006</t>
        </is>
      </c>
      <c r="D37" s="7" t="inlineStr">
        <is>
          <t>GRK</t>
        </is>
      </c>
      <c r="E37" s="4" t="inlineStr">
        <is>
          <t>β2AR</t>
        </is>
      </c>
      <c r="F37" s="7" t="inlineStr">
        <is>
          <t>Western Blot</t>
        </is>
      </c>
      <c r="G37" s="7" t="inlineStr">
        <is>
          <t>HEK293 cells</t>
        </is>
      </c>
      <c r="H37" s="8" t="inlineStr">
        <is>
          <t>0.69 ± 0.00</t>
        </is>
      </c>
      <c r="I37" s="41" t="inlineStr">
        <is>
          <t>0.0693 ± 0.00</t>
        </is>
      </c>
      <c r="J37" s="38" t="n"/>
      <c r="K37" s="117" t="inlineStr">
        <is>
          <t>Kact= GDP dissociation rate constant; Kinact = GTP hydrolysis</t>
        </is>
      </c>
      <c r="L37" s="34" t="inlineStr">
        <is>
          <t>SR21</t>
        </is>
      </c>
      <c r="M37" t="inlineStr">
        <is>
          <t>https://doi.org/10.1038/sj.bjp.0706551</t>
        </is>
      </c>
    </row>
    <row r="38" ht="45" customFormat="1" customHeight="1" s="1">
      <c r="A38" s="51" t="inlineStr">
        <is>
          <t>kp, kdp</t>
        </is>
      </c>
      <c r="B38" s="54" t="inlineStr">
        <is>
          <t>GRK-mediated phosphorylation &amp; dephosphorylation rate</t>
        </is>
      </c>
      <c r="C38" s="7" t="inlineStr">
        <is>
          <t>Martens et al., 1998</t>
        </is>
      </c>
      <c r="D38" s="7" t="inlineStr">
        <is>
          <t>PTK</t>
        </is>
      </c>
      <c r="E38" s="7" t="inlineStr">
        <is>
          <t>OXTR</t>
        </is>
      </c>
      <c r="F38" s="7" t="inlineStr">
        <is>
          <t>Western Blot</t>
        </is>
      </c>
      <c r="G38" s="7" t="inlineStr">
        <is>
          <t>Murine pre-T cells</t>
        </is>
      </c>
      <c r="H38" s="8" t="inlineStr">
        <is>
          <t>0.69 ± 0.00</t>
        </is>
      </c>
      <c r="I38" s="41" t="n"/>
      <c r="J38" s="38" t="n"/>
      <c r="K38" s="117" t="inlineStr">
        <is>
          <t>Fig. 3</t>
        </is>
      </c>
      <c r="L38" s="4" t="inlineStr">
        <is>
          <t>SR32</t>
        </is>
      </c>
      <c r="M38" s="4" t="inlineStr">
        <is>
          <t>https://doi.org/10.1159/000054324</t>
        </is>
      </c>
      <c r="N38" s="4" t="n"/>
      <c r="O38" s="4" t="n"/>
    </row>
    <row r="39" ht="45" customFormat="1" customHeight="1" s="1">
      <c r="A39" s="51" t="inlineStr">
        <is>
          <t>kp, kdp</t>
        </is>
      </c>
      <c r="B39" s="54" t="inlineStr">
        <is>
          <t>GRK-mediated phosphorylation &amp; dephosphorylation rate</t>
        </is>
      </c>
      <c r="C39" s="7" t="inlineStr">
        <is>
          <t>Gehret and Hinkle, 2010</t>
        </is>
      </c>
      <c r="D39" s="7" t="inlineStr">
        <is>
          <t>GRK</t>
        </is>
      </c>
      <c r="E39" s="4" t="inlineStr">
        <is>
          <t>β2AR</t>
        </is>
      </c>
      <c r="F39" s="7" t="inlineStr">
        <is>
          <t>ELISA</t>
        </is>
      </c>
      <c r="G39" s="7" t="inlineStr">
        <is>
          <t>HEK293 Cells</t>
        </is>
      </c>
      <c r="H39" s="8" t="inlineStr">
        <is>
          <t>0.70 ± 0.07</t>
        </is>
      </c>
      <c r="I39" s="41" t="inlineStr">
        <is>
          <t>0.0825 ± 0.0135</t>
        </is>
      </c>
      <c r="J39" s="38" t="inlineStr">
        <is>
          <t>Table 1</t>
        </is>
      </c>
      <c r="K39" s="131" t="inlineStr">
        <is>
          <t>They have data for 5 min and 60 min agaonist (for the phs initial conc. We may come abck to table 1)</t>
        </is>
      </c>
      <c r="L39" s="34" t="inlineStr">
        <is>
          <t>SR13</t>
        </is>
      </c>
      <c r="M39" s="4" t="inlineStr">
        <is>
          <t>https://doi.org/10.1042/bj20100139</t>
        </is>
      </c>
      <c r="N39" s="4" t="n"/>
      <c r="O39" s="4" t="n"/>
    </row>
    <row r="40" ht="45" customFormat="1" customHeight="1" s="1">
      <c r="A40" s="51" t="inlineStr">
        <is>
          <t>kp, kdp</t>
        </is>
      </c>
      <c r="B40" s="54" t="inlineStr">
        <is>
          <t>GRK-mediated phosphorylation &amp; dephosphorylation rate</t>
        </is>
      </c>
      <c r="C40" s="7" t="inlineStr">
        <is>
          <t>Gehret and Hinkle, 2010</t>
        </is>
      </c>
      <c r="D40" s="7" t="inlineStr">
        <is>
          <t>PKA</t>
        </is>
      </c>
      <c r="E40" s="4" t="inlineStr">
        <is>
          <t>β2AR</t>
        </is>
      </c>
      <c r="F40" s="7" t="inlineStr">
        <is>
          <t>ELISA</t>
        </is>
      </c>
      <c r="G40" s="7" t="inlineStr">
        <is>
          <t>HEK293 Cells</t>
        </is>
      </c>
      <c r="H40" s="8" t="inlineStr">
        <is>
          <t>0.15 ± 0.01</t>
        </is>
      </c>
      <c r="I40" s="41" t="n"/>
      <c r="J40" s="38" t="inlineStr">
        <is>
          <t>Table 1</t>
        </is>
      </c>
      <c r="K40" s="131" t="n"/>
      <c r="L40" s="32" t="inlineStr">
        <is>
          <t>SR13</t>
        </is>
      </c>
      <c r="M40" t="inlineStr">
        <is>
          <t>https://doi.org/10.1042/bj20100139</t>
        </is>
      </c>
    </row>
    <row r="41" ht="45" customFormat="1" customHeight="1" s="1">
      <c r="A41" s="51" t="inlineStr">
        <is>
          <t>kp, kdp</t>
        </is>
      </c>
      <c r="B41" s="54" t="inlineStr">
        <is>
          <t>GRK-mediated phosphorylation &amp; dephosphorylation rate</t>
        </is>
      </c>
      <c r="C41" s="7" t="inlineStr">
        <is>
          <t>Tran et al., 2004</t>
        </is>
      </c>
      <c r="D41" s="7" t="inlineStr">
        <is>
          <t>PKA</t>
        </is>
      </c>
      <c r="E41" s="4" t="inlineStr">
        <is>
          <t>β2AR</t>
        </is>
      </c>
      <c r="F41" s="7" t="inlineStr">
        <is>
          <t>Western Blot</t>
        </is>
      </c>
      <c r="G41" s="7" t="inlineStr">
        <is>
          <t>HEK293 Cells</t>
        </is>
      </c>
      <c r="H41" s="87" t="inlineStr">
        <is>
          <t>0.676 ± 0.0439</t>
        </is>
      </c>
      <c r="I41" s="41" t="n"/>
      <c r="J41" s="38" t="n"/>
      <c r="K41" s="131" t="n"/>
      <c r="L41" s="30" t="inlineStr">
        <is>
          <t>SR50</t>
        </is>
      </c>
      <c r="M41" s="3" t="inlineStr">
        <is>
          <t>https://doi.org/10.1124/mol.65.1.196</t>
        </is>
      </c>
      <c r="N41" s="3" t="n"/>
      <c r="O41" s="3" t="n"/>
    </row>
    <row r="42" ht="45" customFormat="1" customHeight="1" s="1">
      <c r="A42" s="51" t="inlineStr">
        <is>
          <t>kp, kdp</t>
        </is>
      </c>
      <c r="B42" s="54" t="inlineStr">
        <is>
          <t>GRK-mediated phosphorylation &amp; dephosphorylation rate</t>
        </is>
      </c>
      <c r="C42" s="7" t="inlineStr">
        <is>
          <t>Tran et al., 2004</t>
        </is>
      </c>
      <c r="D42" s="7" t="inlineStr">
        <is>
          <t>GRK</t>
        </is>
      </c>
      <c r="E42" s="4" t="inlineStr">
        <is>
          <t>β2AR</t>
        </is>
      </c>
      <c r="F42" s="7" t="inlineStr">
        <is>
          <t>Western Blot</t>
        </is>
      </c>
      <c r="G42" s="7" t="inlineStr">
        <is>
          <t>HEK293 Cells</t>
        </is>
      </c>
      <c r="H42" s="8" t="inlineStr">
        <is>
          <t>0.416 ± 0.00</t>
        </is>
      </c>
      <c r="I42" s="41" t="n"/>
      <c r="J42" s="38" t="n"/>
      <c r="K42" s="131" t="n"/>
      <c r="L42" s="30" t="inlineStr">
        <is>
          <t>SR50</t>
        </is>
      </c>
      <c r="M42" s="3" t="inlineStr">
        <is>
          <t>https://doi.org/10.1124/mol.65.1.196</t>
        </is>
      </c>
      <c r="N42" s="3" t="n"/>
      <c r="O42" s="3" t="n"/>
    </row>
    <row r="43" ht="45" customFormat="1" customHeight="1" s="3">
      <c r="A43" s="51" t="inlineStr">
        <is>
          <t>kp, kdp</t>
        </is>
      </c>
      <c r="B43" s="54" t="inlineStr">
        <is>
          <t>GRK-mediated phosphorylation &amp; dephosphorylation rate</t>
        </is>
      </c>
      <c r="C43" s="7" t="inlineStr">
        <is>
          <t>Tran et al., 2007</t>
        </is>
      </c>
      <c r="D43" s="7" t="inlineStr">
        <is>
          <t>GRK</t>
        </is>
      </c>
      <c r="E43" s="4" t="inlineStr">
        <is>
          <t>β2AR</t>
        </is>
      </c>
      <c r="F43" s="7" t="inlineStr">
        <is>
          <t>Western Blot</t>
        </is>
      </c>
      <c r="G43" s="7" t="inlineStr">
        <is>
          <t>HEK293 Cells</t>
        </is>
      </c>
      <c r="H43" s="8" t="n"/>
      <c r="I43" s="8" t="inlineStr">
        <is>
          <t>0.08 ± 0.016</t>
        </is>
      </c>
      <c r="J43" s="38" t="n"/>
      <c r="K43" s="131" t="n"/>
      <c r="L43" s="34" t="inlineStr">
        <is>
          <t>SR51</t>
        </is>
      </c>
      <c r="M43" s="4" t="inlineStr">
        <is>
          <t>https://doi.org/10.1124/mol.106.028456</t>
        </is>
      </c>
      <c r="N43" s="4" t="n"/>
      <c r="O43" s="4" t="n"/>
    </row>
    <row r="44" ht="45" customFormat="1" customHeight="1" s="4">
      <c r="A44" s="51" t="inlineStr">
        <is>
          <t>kp, kdp</t>
        </is>
      </c>
      <c r="B44" s="54" t="inlineStr">
        <is>
          <t>GRK-mediated phosphorylation &amp; dephosphorylation rate</t>
        </is>
      </c>
      <c r="C44" s="7" t="inlineStr">
        <is>
          <t>Tran et al., 2007</t>
        </is>
      </c>
      <c r="D44" s="7" t="inlineStr">
        <is>
          <t>PKA</t>
        </is>
      </c>
      <c r="E44" s="4" t="inlineStr">
        <is>
          <t>β2AR</t>
        </is>
      </c>
      <c r="F44" s="7" t="inlineStr">
        <is>
          <t>Western Blot</t>
        </is>
      </c>
      <c r="G44" s="7" t="inlineStr">
        <is>
          <t>HEK293 Cells</t>
        </is>
      </c>
      <c r="H44" s="8" t="n"/>
      <c r="I44" s="8" t="inlineStr">
        <is>
          <t>0.039 ± 0.006</t>
        </is>
      </c>
      <c r="J44" s="38" t="n"/>
      <c r="K44" s="131" t="n"/>
      <c r="L44" s="44" t="inlineStr">
        <is>
          <t>SR51</t>
        </is>
      </c>
      <c r="M44" s="1" t="inlineStr">
        <is>
          <t>https://doi.org/10.1124/mol.106.028456</t>
        </is>
      </c>
      <c r="N44" s="1" t="n"/>
      <c r="O44" s="1" t="n"/>
    </row>
    <row r="45" ht="45" customFormat="1" customHeight="1" s="4">
      <c r="A45" s="51" t="inlineStr">
        <is>
          <t>kp, kdp</t>
        </is>
      </c>
      <c r="B45" s="54" t="inlineStr">
        <is>
          <t>GRK-mediated phosphorylation &amp; dephosphorylation rate</t>
        </is>
      </c>
      <c r="C45" s="7" t="inlineStr">
        <is>
          <t>Liang et al., 2008</t>
        </is>
      </c>
      <c r="D45" s="7" t="inlineStr">
        <is>
          <t>GRK</t>
        </is>
      </c>
      <c r="E45" s="4" t="inlineStr">
        <is>
          <t>β2AR</t>
        </is>
      </c>
      <c r="F45" s="7" t="inlineStr">
        <is>
          <t>Western Blot</t>
        </is>
      </c>
      <c r="G45" s="7" t="inlineStr">
        <is>
          <t>HEK293 Cells</t>
        </is>
      </c>
      <c r="H45" s="8" t="inlineStr">
        <is>
          <t>0.693 ± 0.00</t>
        </is>
      </c>
      <c r="I45" s="41" t="inlineStr">
        <is>
          <t>0.0346 ± 0.00</t>
        </is>
      </c>
      <c r="J45" s="38" t="n"/>
      <c r="K45" s="131" t="n"/>
      <c r="L45" s="44" t="inlineStr">
        <is>
          <t>SR27</t>
        </is>
      </c>
      <c r="M45" s="1" t="inlineStr">
        <is>
          <t>https://doi.org/10.1021/bi800219q</t>
        </is>
      </c>
      <c r="N45" s="1" t="n"/>
      <c r="O45" s="1" t="n"/>
      <c r="P45" s="33" t="n"/>
      <c r="Q45" s="33" t="n"/>
      <c r="R45" s="33" t="n"/>
      <c r="S45" s="33" t="n"/>
      <c r="T45" s="33" t="n"/>
      <c r="U45" s="34" t="n"/>
    </row>
    <row r="46" customFormat="1" s="4">
      <c r="A46" s="51" t="n"/>
      <c r="B46" s="54" t="n"/>
      <c r="E46" s="7" t="n"/>
      <c r="G46" s="7" t="n"/>
      <c r="H46" s="152" t="n"/>
      <c r="I46" s="41" t="n"/>
      <c r="J46" s="61" t="n"/>
      <c r="K46" s="47" t="n"/>
      <c r="L46" s="44" t="n"/>
      <c r="M46" s="1" t="n"/>
      <c r="N46" s="1" t="n"/>
      <c r="O46" s="1" t="n"/>
      <c r="P46" s="33" t="n"/>
      <c r="Q46" s="33" t="n"/>
      <c r="R46" s="33" t="n"/>
      <c r="S46" s="33" t="n"/>
      <c r="T46" s="33" t="n"/>
      <c r="U46" s="34" t="n"/>
    </row>
    <row r="47" customFormat="1" s="4">
      <c r="A47" s="51" t="inlineStr">
        <is>
          <t>Kact, Kinact</t>
        </is>
      </c>
      <c r="B47" s="55" t="inlineStr">
        <is>
          <t>Gprotein activation and inactivation</t>
        </is>
      </c>
      <c r="C47" s="7" t="inlineStr">
        <is>
          <t>Wright et al., 2021</t>
        </is>
      </c>
      <c r="D47" s="7" t="inlineStr">
        <is>
          <t>Gq</t>
        </is>
      </c>
      <c r="E47" s="7" t="inlineStr">
        <is>
          <t>OXTR</t>
        </is>
      </c>
      <c r="F47" s="7" t="inlineStr">
        <is>
          <t>BRET</t>
        </is>
      </c>
      <c r="G47" s="7" t="inlineStr">
        <is>
          <t>HEK293 cells</t>
        </is>
      </c>
      <c r="H47" s="125" t="inlineStr">
        <is>
          <t>0.22 ± 0.00</t>
        </is>
      </c>
      <c r="I47" s="125" t="n"/>
      <c r="J47" s="61" t="n"/>
      <c r="K47" s="45" t="inlineStr">
        <is>
          <t>Supplementary fig. 4 d calculated fromt eh data extracted</t>
        </is>
      </c>
      <c r="L47" s="44" t="inlineStr">
        <is>
          <t>SR56</t>
        </is>
      </c>
      <c r="M47" s="1" t="inlineStr">
        <is>
          <t>https://doi.org/10.1073/pnas.2025846118</t>
        </is>
      </c>
      <c r="N47" s="1" t="n"/>
      <c r="O47" s="1" t="n"/>
      <c r="P47" s="33" t="n"/>
      <c r="Q47" s="33" t="n"/>
      <c r="R47" s="33" t="n"/>
      <c r="S47" s="33" t="n"/>
      <c r="T47" s="33" t="n"/>
      <c r="U47" s="34" t="n"/>
    </row>
    <row r="48" customFormat="1" s="4">
      <c r="A48" s="51" t="inlineStr">
        <is>
          <t>Kact, Kinact</t>
        </is>
      </c>
      <c r="B48" s="55" t="inlineStr">
        <is>
          <t>Gprotein activation and inactivation</t>
        </is>
      </c>
      <c r="C48" s="7" t="inlineStr">
        <is>
          <t>Wright et al., 2021</t>
        </is>
      </c>
      <c r="D48" s="7" t="inlineStr">
        <is>
          <t>Gq</t>
        </is>
      </c>
      <c r="E48" s="4" t="inlineStr">
        <is>
          <t>β2AR</t>
        </is>
      </c>
      <c r="F48" s="7" t="inlineStr">
        <is>
          <t>BRET</t>
        </is>
      </c>
      <c r="G48" s="7" t="inlineStr">
        <is>
          <t>HEK293 cells</t>
        </is>
      </c>
      <c r="H48" s="125" t="inlineStr">
        <is>
          <t>0.155 ± 0.00</t>
        </is>
      </c>
      <c r="I48" s="125" t="n"/>
      <c r="J48" s="61" t="n"/>
      <c r="K48" s="45" t="inlineStr">
        <is>
          <t>Supplementary fig. 4 c calculated fromt eh data extracted</t>
        </is>
      </c>
      <c r="L48" s="44" t="inlineStr">
        <is>
          <t>SR56</t>
        </is>
      </c>
      <c r="M48" s="1" t="inlineStr">
        <is>
          <t>https://doi.org/10.1073/pnas.2025846118</t>
        </is>
      </c>
      <c r="N48" s="1" t="n"/>
      <c r="O48" s="1" t="n"/>
      <c r="P48" s="33" t="n"/>
      <c r="Q48" s="33" t="n"/>
      <c r="R48" s="33" t="n"/>
      <c r="S48" s="33" t="n"/>
      <c r="T48" s="33" t="n"/>
      <c r="U48" s="34" t="n"/>
    </row>
    <row r="49" customFormat="1" s="4">
      <c r="A49" s="51" t="inlineStr">
        <is>
          <t>Kact, Kinact</t>
        </is>
      </c>
      <c r="B49" s="55" t="inlineStr">
        <is>
          <t>Gprotein activation and inactivation</t>
        </is>
      </c>
      <c r="C49" s="7" t="inlineStr">
        <is>
          <t>Wright et al., 2021</t>
        </is>
      </c>
      <c r="D49" s="7" t="inlineStr">
        <is>
          <t>Gq</t>
        </is>
      </c>
      <c r="E49" s="7" t="inlineStr">
        <is>
          <t>AT1R</t>
        </is>
      </c>
      <c r="F49" s="7" t="inlineStr">
        <is>
          <t>BRET</t>
        </is>
      </c>
      <c r="G49" s="7" t="inlineStr">
        <is>
          <t>HEK293 cells</t>
        </is>
      </c>
      <c r="H49" s="125" t="inlineStr">
        <is>
          <t>0.21 ± 0.00</t>
        </is>
      </c>
      <c r="I49" s="169" t="n"/>
      <c r="J49" s="122" t="n"/>
      <c r="K49" s="45" t="inlineStr">
        <is>
          <t>Supplementary fig. 4 B calculated fromt eh data extracted</t>
        </is>
      </c>
      <c r="L49" s="44" t="inlineStr">
        <is>
          <t>SR56</t>
        </is>
      </c>
      <c r="M49" s="1" t="inlineStr">
        <is>
          <t>https://doi.org/10.1073/pnas.2025846118</t>
        </is>
      </c>
      <c r="N49" s="1" t="n"/>
      <c r="O49" s="1" t="n"/>
      <c r="P49" s="33" t="n"/>
      <c r="Q49" s="33" t="n"/>
      <c r="R49" s="33" t="n"/>
      <c r="S49" s="33" t="n"/>
      <c r="T49" s="33" t="n"/>
      <c r="U49" s="34" t="n"/>
    </row>
    <row r="50" customFormat="1" s="4">
      <c r="A50" s="51" t="inlineStr">
        <is>
          <t>Kact, Kinact</t>
        </is>
      </c>
      <c r="B50" s="55" t="inlineStr">
        <is>
          <t>Gprotein activation and inactivation</t>
        </is>
      </c>
      <c r="C50" s="7" t="inlineStr">
        <is>
          <t>Wright et al., 2021</t>
        </is>
      </c>
      <c r="D50" s="7" t="inlineStr">
        <is>
          <t>Gq</t>
        </is>
      </c>
      <c r="E50" s="7" t="inlineStr">
        <is>
          <t>AT1R</t>
        </is>
      </c>
      <c r="F50" s="7" t="inlineStr">
        <is>
          <t>BRET</t>
        </is>
      </c>
      <c r="G50" s="7" t="inlineStr">
        <is>
          <t>HEK293 cells</t>
        </is>
      </c>
      <c r="H50" s="87" t="inlineStr">
        <is>
          <t>3.355 ± 0.355</t>
        </is>
      </c>
      <c r="I50" s="87" t="n"/>
      <c r="J50" s="125" t="n"/>
      <c r="K50" s="132" t="inlineStr">
        <is>
          <t>Results test last para of first heading t1/2 = 12.5 sec</t>
        </is>
      </c>
      <c r="L50" s="44" t="inlineStr">
        <is>
          <t>SR56</t>
        </is>
      </c>
      <c r="M50" s="1" t="inlineStr">
        <is>
          <t>https://doi.org/10.1073/pnas.2025846118</t>
        </is>
      </c>
      <c r="N50" s="1" t="n"/>
      <c r="O50" s="1" t="n"/>
      <c r="P50" s="33" t="n"/>
      <c r="Q50" s="33" t="n"/>
      <c r="R50" s="33" t="n"/>
      <c r="S50" s="33" t="n"/>
      <c r="T50" s="33" t="n"/>
      <c r="U50" s="34" t="n"/>
    </row>
    <row r="51" customFormat="1" s="4">
      <c r="A51" s="51" t="inlineStr">
        <is>
          <t>Kact, Kinact</t>
        </is>
      </c>
      <c r="B51" s="55" t="inlineStr">
        <is>
          <t>Gprotein activation and inactivation</t>
        </is>
      </c>
      <c r="C51" s="7" t="inlineStr">
        <is>
          <t>Baek et al., 1996</t>
        </is>
      </c>
      <c r="D51" s="7" t="inlineStr">
        <is>
          <t>Gh</t>
        </is>
      </c>
      <c r="E51" s="7" t="inlineStr">
        <is>
          <t>OXTR</t>
        </is>
      </c>
      <c r="F51" s="7" t="inlineStr">
        <is>
          <t>Photoaffinity labeling og G-protein</t>
        </is>
      </c>
      <c r="G51" s="7" t="inlineStr">
        <is>
          <t>Purifed human myometrial membranes</t>
        </is>
      </c>
      <c r="H51" s="109" t="inlineStr">
        <is>
          <t>0.14 ± 0.00</t>
        </is>
      </c>
      <c r="I51" s="123" t="n"/>
      <c r="J51" s="126" t="n"/>
      <c r="K51" s="45" t="inlineStr">
        <is>
          <t>Fig. 1 inset data t1/2 = 5 min</t>
        </is>
      </c>
      <c r="L51" s="44" t="inlineStr">
        <is>
          <t>SR1</t>
        </is>
      </c>
      <c r="M51" s="1" t="inlineStr">
        <is>
          <t>https://doi.org/10.1042/bj3150739</t>
        </is>
      </c>
      <c r="N51" s="1" t="n"/>
      <c r="O51" s="1" t="n"/>
      <c r="P51" s="33" t="n"/>
      <c r="Q51" s="33" t="n"/>
      <c r="R51" s="33" t="n"/>
      <c r="S51" s="33" t="n"/>
      <c r="T51" s="33" t="n"/>
      <c r="U51" s="34" t="n"/>
    </row>
    <row r="52" customFormat="1" s="4">
      <c r="A52" s="51" t="inlineStr">
        <is>
          <t>Kact, Kinact</t>
        </is>
      </c>
      <c r="B52" s="55" t="inlineStr">
        <is>
          <t>Gprotein activation and inactivation</t>
        </is>
      </c>
      <c r="C52" s="7" t="inlineStr">
        <is>
          <t>Strakova and Soloff 1997</t>
        </is>
      </c>
      <c r="D52" s="7" t="inlineStr">
        <is>
          <t>Gq</t>
        </is>
      </c>
      <c r="E52" s="7" t="inlineStr">
        <is>
          <t>OXTR</t>
        </is>
      </c>
      <c r="F52" s="7" t="inlineStr">
        <is>
          <t>GTPase assay</t>
        </is>
      </c>
      <c r="G52" s="7" t="inlineStr">
        <is>
          <t>Term myometrial membranes</t>
        </is>
      </c>
      <c r="H52" s="87" t="n"/>
      <c r="I52" s="87" t="inlineStr">
        <is>
          <t>0.072 ± 0.00</t>
        </is>
      </c>
      <c r="J52" s="122" t="n"/>
      <c r="K52" s="45" t="inlineStr">
        <is>
          <t>Calculated using fig. 4 and details of caluclation are in extracted data excel sheet</t>
        </is>
      </c>
      <c r="L52" s="44" t="inlineStr">
        <is>
          <t>SR48</t>
        </is>
      </c>
      <c r="M52" s="1" t="inlineStr">
        <is>
          <t>https://doi.org/10.1152/ajpendo.1997.272.5.e870</t>
        </is>
      </c>
      <c r="N52" s="1" t="n"/>
      <c r="O52" s="1" t="n"/>
      <c r="P52" s="33" t="n"/>
      <c r="Q52" s="33" t="n"/>
      <c r="R52" s="33" t="n"/>
      <c r="S52" s="33" t="n"/>
      <c r="T52" s="33" t="n"/>
      <c r="U52" s="34" t="n"/>
    </row>
    <row r="53" customFormat="1" s="4">
      <c r="A53" s="51" t="inlineStr">
        <is>
          <t>Kact, Kinact</t>
        </is>
      </c>
      <c r="B53" s="55" t="inlineStr">
        <is>
          <t>Gprotein activation and inactivation</t>
        </is>
      </c>
      <c r="C53" s="7" t="inlineStr">
        <is>
          <t>Ku et al., 1995</t>
        </is>
      </c>
      <c r="D53" s="7" t="inlineStr">
        <is>
          <t>Gq</t>
        </is>
      </c>
      <c r="E53" s="7" t="inlineStr">
        <is>
          <t>OXTR</t>
        </is>
      </c>
      <c r="F53" s="7" t="inlineStr">
        <is>
          <t>PLC activity assay and GTPase assay</t>
        </is>
      </c>
      <c r="G53" s="7" t="inlineStr">
        <is>
          <t>Rat myometrial cell PM and nonpregnant human myometrial cell PM</t>
        </is>
      </c>
      <c r="H53" s="130" t="inlineStr">
        <is>
          <t>14.63 ± 0.00</t>
        </is>
      </c>
      <c r="I53" s="8" t="n"/>
      <c r="J53" s="128" t="n"/>
      <c r="K53" s="45" t="n"/>
      <c r="L53" s="44" t="inlineStr">
        <is>
          <t>SR24</t>
        </is>
      </c>
      <c r="M53" s="1" t="inlineStr">
        <is>
          <t>https://doi.org/10.1210/endo.136.4.7895660</t>
        </is>
      </c>
      <c r="N53" s="1" t="n"/>
      <c r="O53" s="1" t="n"/>
      <c r="P53" s="33" t="n"/>
      <c r="Q53" s="33" t="n"/>
      <c r="R53" s="33" t="n"/>
      <c r="S53" s="33" t="n"/>
      <c r="T53" s="33" t="n"/>
      <c r="U53" s="34" t="n"/>
    </row>
    <row r="54" customFormat="1" s="4">
      <c r="A54" s="51" t="inlineStr">
        <is>
          <t>Kact, Kinact</t>
        </is>
      </c>
      <c r="B54" s="55" t="inlineStr">
        <is>
          <t>Gprotein activation and inactivation</t>
        </is>
      </c>
      <c r="C54" s="7" t="inlineStr">
        <is>
          <t>Daly et al., 2023</t>
        </is>
      </c>
      <c r="D54" s="7" t="inlineStr">
        <is>
          <t>Gq</t>
        </is>
      </c>
      <c r="E54" s="7" t="inlineStr">
        <is>
          <t>V2R</t>
        </is>
      </c>
      <c r="F54" s="7" t="inlineStr">
        <is>
          <t>BRET</t>
        </is>
      </c>
      <c r="G54" s="7" t="inlineStr">
        <is>
          <t>HEK293 Cells</t>
        </is>
      </c>
      <c r="H54" s="87" t="inlineStr">
        <is>
          <t>0.13 ± 0.00</t>
        </is>
      </c>
      <c r="I54" s="124" t="n"/>
      <c r="J54" s="122" t="n"/>
      <c r="K54" s="132" t="inlineStr">
        <is>
          <t>Fig.1</t>
        </is>
      </c>
      <c r="L54" s="44" t="inlineStr">
        <is>
          <t>SR10</t>
        </is>
      </c>
      <c r="M54" s="1" t="inlineStr">
        <is>
          <t>https://doi.org/10.7554/eLife.87754</t>
        </is>
      </c>
      <c r="N54" s="1" t="n"/>
      <c r="O54" s="1" t="n"/>
      <c r="P54" s="33" t="n"/>
      <c r="Q54" s="33" t="n"/>
      <c r="R54" s="33" t="n"/>
      <c r="S54" s="33" t="n"/>
      <c r="T54" s="33" t="n"/>
      <c r="U54" s="34" t="n"/>
    </row>
    <row r="55" customFormat="1" s="4">
      <c r="A55" s="51" t="inlineStr">
        <is>
          <t>Kact, Kinact</t>
        </is>
      </c>
      <c r="B55" s="55" t="inlineStr">
        <is>
          <t>Gprotein activation and inactivation</t>
        </is>
      </c>
      <c r="C55" s="7" t="inlineStr">
        <is>
          <t>Daly et al., 2023</t>
        </is>
      </c>
      <c r="D55" s="7" t="inlineStr">
        <is>
          <t>Gs</t>
        </is>
      </c>
      <c r="E55" s="7" t="inlineStr">
        <is>
          <t>V2R</t>
        </is>
      </c>
      <c r="F55" s="7" t="inlineStr">
        <is>
          <t>BRET</t>
        </is>
      </c>
      <c r="G55" s="7" t="inlineStr">
        <is>
          <t>HEK293 Cells</t>
        </is>
      </c>
      <c r="H55" s="87" t="inlineStr">
        <is>
          <t>0.17 ± 0.00</t>
        </is>
      </c>
      <c r="I55" s="124" t="n"/>
      <c r="J55" s="122" t="n"/>
      <c r="K55" s="132" t="n"/>
      <c r="L55" s="44" t="inlineStr">
        <is>
          <t>SR10</t>
        </is>
      </c>
      <c r="M55" s="1" t="inlineStr">
        <is>
          <t>https://doi.org/10.7554/eLife.87754</t>
        </is>
      </c>
      <c r="N55" s="1" t="n"/>
      <c r="O55" s="1" t="n"/>
      <c r="P55" s="33" t="n"/>
      <c r="Q55" s="33" t="n"/>
      <c r="R55" s="33" t="n"/>
      <c r="S55" s="33" t="n"/>
      <c r="T55" s="33" t="n"/>
      <c r="U55" s="34" t="n"/>
    </row>
    <row r="56" customFormat="1" s="4">
      <c r="A56" s="51" t="inlineStr">
        <is>
          <t>Kact, Kinact</t>
        </is>
      </c>
      <c r="B56" s="55" t="inlineStr">
        <is>
          <t>Gprotein activation and inactivation</t>
        </is>
      </c>
      <c r="C56" s="7" t="inlineStr">
        <is>
          <t>Bodzeta et al. 2022</t>
        </is>
      </c>
      <c r="D56" s="7" t="inlineStr">
        <is>
          <t>Gi</t>
        </is>
      </c>
      <c r="E56" s="7" t="inlineStr">
        <is>
          <t>mGluR2/mGluR7</t>
        </is>
      </c>
      <c r="F56" s="7" t="inlineStr">
        <is>
          <t>Single molecule tracking</t>
        </is>
      </c>
      <c r="G56" s="7" t="inlineStr">
        <is>
          <t>Rat Neurons</t>
        </is>
      </c>
      <c r="H56" s="87" t="inlineStr">
        <is>
          <t>0.6 ± 0.00</t>
        </is>
      </c>
      <c r="I56" s="124" t="n"/>
      <c r="J56" s="122" t="n"/>
      <c r="K56" s="132" t="inlineStr">
        <is>
          <t>Table S7</t>
        </is>
      </c>
      <c r="L56" s="44" t="inlineStr">
        <is>
          <t>SR3</t>
        </is>
      </c>
      <c r="M56" s="1" t="inlineStr">
        <is>
          <t>https://doi.org/10.1091/mbc.E21-10-0484</t>
        </is>
      </c>
      <c r="N56" s="1" t="n"/>
      <c r="O56" s="1" t="n"/>
      <c r="P56" s="33" t="n"/>
      <c r="Q56" s="33" t="n"/>
      <c r="R56" s="33" t="n"/>
      <c r="S56" s="33" t="n"/>
      <c r="T56" s="33" t="n"/>
      <c r="U56" s="34" t="n"/>
    </row>
    <row r="57" customFormat="1" s="4">
      <c r="A57" s="51" t="inlineStr">
        <is>
          <t>Kact, Kinact</t>
        </is>
      </c>
      <c r="B57" s="55" t="inlineStr">
        <is>
          <t>Gprotein activation and inactivation</t>
        </is>
      </c>
      <c r="C57" s="7" t="inlineStr">
        <is>
          <t>Hilger et al., 2020</t>
        </is>
      </c>
      <c r="D57" s="7" t="inlineStr">
        <is>
          <t>Gs</t>
        </is>
      </c>
      <c r="E57" s="4" t="inlineStr">
        <is>
          <t>β2AR</t>
        </is>
      </c>
      <c r="F57" s="7" t="inlineStr">
        <is>
          <t>FRET</t>
        </is>
      </c>
      <c r="G57" s="7" t="inlineStr">
        <is>
          <t>HEK293 cells</t>
        </is>
      </c>
      <c r="H57" s="87" t="inlineStr">
        <is>
          <t>80 ± 0.00</t>
        </is>
      </c>
      <c r="I57" s="87" t="n"/>
      <c r="J57" s="129" t="n"/>
      <c r="K57" s="127" t="inlineStr">
        <is>
          <t>Table S7</t>
        </is>
      </c>
      <c r="L57" s="44" t="inlineStr">
        <is>
          <t>SR18</t>
        </is>
      </c>
      <c r="M57" s="1" t="inlineStr">
        <is>
          <t>https://doi.org/10.1126/science.aba3373</t>
        </is>
      </c>
      <c r="N57" s="1" t="n"/>
      <c r="O57" s="1" t="n"/>
      <c r="P57" s="33" t="n"/>
      <c r="Q57" s="33" t="n"/>
      <c r="R57" s="33" t="n"/>
      <c r="S57" s="33" t="n"/>
      <c r="T57" s="33" t="n"/>
      <c r="U57" s="34" t="n"/>
    </row>
    <row r="58" customFormat="1" s="4">
      <c r="A58" s="51" t="inlineStr">
        <is>
          <t>Kact, Kinact</t>
        </is>
      </c>
      <c r="B58" s="55" t="inlineStr">
        <is>
          <t>Gprotein activation and inactivation</t>
        </is>
      </c>
      <c r="C58" s="7" t="inlineStr">
        <is>
          <t>Hilger et al., 2020</t>
        </is>
      </c>
      <c r="D58" s="7" t="inlineStr">
        <is>
          <t>Gs</t>
        </is>
      </c>
      <c r="E58" s="7" t="inlineStr">
        <is>
          <t>GCGR</t>
        </is>
      </c>
      <c r="F58" s="7" t="inlineStr">
        <is>
          <t>FRET</t>
        </is>
      </c>
      <c r="G58" s="7" t="inlineStr">
        <is>
          <t>HEK293 cells</t>
        </is>
      </c>
      <c r="H58" s="87" t="inlineStr">
        <is>
          <t>1.1 ± 0.00</t>
        </is>
      </c>
      <c r="I58" s="87" t="inlineStr">
        <is>
          <t>0.06 ± 0.00</t>
        </is>
      </c>
      <c r="J58" s="129" t="n"/>
      <c r="K58" s="127" t="n"/>
      <c r="L58" s="44" t="inlineStr">
        <is>
          <t>SR18</t>
        </is>
      </c>
      <c r="M58" s="1" t="inlineStr">
        <is>
          <t>https://doi.org/10.1126/science.aba3373</t>
        </is>
      </c>
      <c r="N58" s="1" t="n"/>
      <c r="O58" s="1" t="n"/>
      <c r="P58" s="33" t="n"/>
      <c r="Q58" s="33" t="n"/>
      <c r="R58" s="33" t="n"/>
      <c r="S58" s="33" t="n"/>
      <c r="T58" s="33" t="n"/>
      <c r="U58" s="34" t="n"/>
    </row>
    <row r="59" customFormat="1" s="4">
      <c r="A59" s="51" t="inlineStr">
        <is>
          <t>Kact, Kinact</t>
        </is>
      </c>
      <c r="B59" s="55" t="inlineStr">
        <is>
          <t>Gprotein activation and inactivation</t>
        </is>
      </c>
      <c r="C59" s="7" t="inlineStr">
        <is>
          <t>Masuho et al., 2015</t>
        </is>
      </c>
      <c r="D59" s="7" t="inlineStr">
        <is>
          <t>Gq</t>
        </is>
      </c>
      <c r="E59" s="7" t="inlineStr">
        <is>
          <t>M3R</t>
        </is>
      </c>
      <c r="F59" s="7" t="inlineStr">
        <is>
          <t>BRET</t>
        </is>
      </c>
      <c r="G59" s="7" t="inlineStr">
        <is>
          <t>HEK293 cells</t>
        </is>
      </c>
      <c r="H59" s="87" t="inlineStr">
        <is>
          <t>354 ± 18</t>
        </is>
      </c>
      <c r="I59" s="124" t="inlineStr">
        <is>
          <t>15 ± 0.00</t>
        </is>
      </c>
      <c r="J59" s="125" t="n"/>
      <c r="K59" s="131" t="inlineStr">
        <is>
          <t>Activation rates stated in paragraph on page 6 and deactivation on Fig3d</t>
        </is>
      </c>
      <c r="L59" s="44" t="inlineStr">
        <is>
          <t>SR33</t>
        </is>
      </c>
      <c r="M59" s="1" t="inlineStr">
        <is>
          <t>https://doi.org/10.1126/scisignal.aab4068</t>
        </is>
      </c>
      <c r="N59" s="1" t="n"/>
      <c r="O59" s="1" t="n"/>
      <c r="P59" s="33" t="n"/>
      <c r="Q59" s="33" t="n"/>
      <c r="R59" s="33" t="n"/>
      <c r="S59" s="33" t="n"/>
      <c r="T59" s="33" t="n"/>
      <c r="U59" s="34" t="n"/>
    </row>
    <row r="60" customFormat="1" s="4">
      <c r="A60" s="51" t="inlineStr">
        <is>
          <t>Kact, Kinact</t>
        </is>
      </c>
      <c r="B60" s="55" t="inlineStr">
        <is>
          <t>Gprotein activation and inactivation</t>
        </is>
      </c>
      <c r="C60" s="7" t="inlineStr">
        <is>
          <t>Masuho et al., 2015</t>
        </is>
      </c>
      <c r="D60" s="7" t="inlineStr">
        <is>
          <t>G11</t>
        </is>
      </c>
      <c r="E60" s="7" t="inlineStr">
        <is>
          <t>M3R</t>
        </is>
      </c>
      <c r="F60" s="7" t="inlineStr">
        <is>
          <t>BRET</t>
        </is>
      </c>
      <c r="G60" s="7" t="inlineStr">
        <is>
          <t>HEK293 cells</t>
        </is>
      </c>
      <c r="H60" s="87" t="inlineStr">
        <is>
          <t>342 ± 12</t>
        </is>
      </c>
      <c r="I60" s="124" t="inlineStr">
        <is>
          <t>12.1 ± 0.00</t>
        </is>
      </c>
      <c r="J60" s="125" t="n"/>
      <c r="K60" s="131" t="inlineStr">
        <is>
          <t>Activation rates stated in paragraph on page 6 and deactivation on Fig3d</t>
        </is>
      </c>
      <c r="L60" s="44" t="inlineStr">
        <is>
          <t>SR33</t>
        </is>
      </c>
      <c r="M60" s="1" t="inlineStr">
        <is>
          <t>https://doi.org/10.1126/scisignal.aab4068</t>
        </is>
      </c>
      <c r="N60" s="1" t="n"/>
      <c r="O60" s="1" t="n"/>
      <c r="P60" s="33" t="n"/>
      <c r="Q60" s="33" t="n"/>
      <c r="R60" s="33" t="n"/>
      <c r="S60" s="33" t="n"/>
      <c r="T60" s="33" t="n"/>
      <c r="U60" s="34" t="n"/>
    </row>
    <row r="61" customFormat="1" s="4">
      <c r="A61" s="51" t="inlineStr">
        <is>
          <t>Kact, Kinact</t>
        </is>
      </c>
      <c r="B61" s="55" t="inlineStr">
        <is>
          <t>Gprotein activation and inactivation</t>
        </is>
      </c>
      <c r="C61" s="7" t="inlineStr">
        <is>
          <t>Masuho et al., 2015</t>
        </is>
      </c>
      <c r="D61" s="7" t="inlineStr">
        <is>
          <t>G14</t>
        </is>
      </c>
      <c r="E61" s="7" t="inlineStr">
        <is>
          <t>M3R</t>
        </is>
      </c>
      <c r="F61" s="7" t="inlineStr">
        <is>
          <t>BRET</t>
        </is>
      </c>
      <c r="G61" s="7" t="inlineStr">
        <is>
          <t>HEK293 cells</t>
        </is>
      </c>
      <c r="H61" s="87" t="inlineStr">
        <is>
          <t>212 ± 6</t>
        </is>
      </c>
      <c r="I61" s="124" t="inlineStr">
        <is>
          <t>13.62 ± 0.00</t>
        </is>
      </c>
      <c r="J61" s="125" t="n"/>
      <c r="K61" s="131" t="inlineStr">
        <is>
          <t>Activation rates stated in paragraph on page 6 and deactivation on Fig3d</t>
        </is>
      </c>
      <c r="L61" s="44" t="inlineStr">
        <is>
          <t>SR33</t>
        </is>
      </c>
      <c r="M61" s="1" t="inlineStr">
        <is>
          <t>https://doi.org/10.1126/scisignal.aab4068</t>
        </is>
      </c>
      <c r="N61" s="1" t="n"/>
      <c r="O61" s="1" t="n"/>
      <c r="P61" s="33" t="n"/>
      <c r="Q61" s="33" t="n"/>
      <c r="R61" s="33" t="n"/>
      <c r="S61" s="33" t="n"/>
      <c r="T61" s="33" t="n"/>
      <c r="U61" s="34" t="n"/>
    </row>
    <row r="62" customFormat="1" s="4">
      <c r="A62" s="51" t="inlineStr">
        <is>
          <t>Kact, Kinact</t>
        </is>
      </c>
      <c r="B62" s="55" t="inlineStr">
        <is>
          <t>Gprotein activation and inactivation</t>
        </is>
      </c>
      <c r="C62" s="7" t="inlineStr">
        <is>
          <t>Masuho et al., 2015</t>
        </is>
      </c>
      <c r="D62" s="7" t="inlineStr">
        <is>
          <t>G15</t>
        </is>
      </c>
      <c r="E62" s="7" t="inlineStr">
        <is>
          <t>M3R</t>
        </is>
      </c>
      <c r="F62" s="7" t="inlineStr">
        <is>
          <t>BRET</t>
        </is>
      </c>
      <c r="G62" s="7" t="inlineStr">
        <is>
          <t>HEK293 cells</t>
        </is>
      </c>
      <c r="H62" s="87" t="inlineStr">
        <is>
          <t>120 ± 6</t>
        </is>
      </c>
      <c r="I62" s="124" t="inlineStr">
        <is>
          <t>1.2 ± 0.00</t>
        </is>
      </c>
      <c r="J62" s="125" t="n"/>
      <c r="K62" s="131" t="inlineStr">
        <is>
          <t>Activation rates stated in paragraph on page 6 and deactivation on Fig3d</t>
        </is>
      </c>
      <c r="L62" s="44" t="inlineStr">
        <is>
          <t>SR33</t>
        </is>
      </c>
      <c r="M62" s="1" t="inlineStr">
        <is>
          <t>https://doi.org/10.1126/scisignal.aab4068</t>
        </is>
      </c>
      <c r="N62" s="1" t="n"/>
      <c r="O62" s="1" t="n"/>
      <c r="P62" s="47" t="n"/>
      <c r="Q62" s="47" t="n"/>
      <c r="R62" s="33" t="n"/>
      <c r="S62" s="33" t="n"/>
      <c r="T62" s="33" t="n"/>
      <c r="U62" s="34" t="n"/>
    </row>
    <row r="63" customFormat="1" s="4">
      <c r="A63" s="51" t="inlineStr">
        <is>
          <t>Kact, Kinact</t>
        </is>
      </c>
      <c r="B63" s="55" t="inlineStr">
        <is>
          <t>Gprotein activation and inactivation</t>
        </is>
      </c>
      <c r="C63" s="7" t="inlineStr">
        <is>
          <t>Masuho et al., 2015</t>
        </is>
      </c>
      <c r="D63" s="7" t="inlineStr">
        <is>
          <t>Go</t>
        </is>
      </c>
      <c r="E63" s="7" t="inlineStr">
        <is>
          <t>M3R</t>
        </is>
      </c>
      <c r="F63" s="7" t="inlineStr">
        <is>
          <t>BRET</t>
        </is>
      </c>
      <c r="G63" s="7" t="inlineStr">
        <is>
          <t>HEK293 cells</t>
        </is>
      </c>
      <c r="H63" s="87" t="inlineStr">
        <is>
          <t>22.8 ± 0.6</t>
        </is>
      </c>
      <c r="I63" s="159" t="inlineStr">
        <is>
          <t>4.33 ± 0.00</t>
        </is>
      </c>
      <c r="J63" s="125" t="n"/>
      <c r="K63" s="131" t="inlineStr">
        <is>
          <t>Activation rates stated in paragraph on page 6 and deactivation on Fig3d</t>
        </is>
      </c>
      <c r="L63" s="30" t="inlineStr">
        <is>
          <t>SR33</t>
        </is>
      </c>
      <c r="M63" s="3" t="inlineStr">
        <is>
          <t>https://doi.org/10.1126/scisignal.aab4068</t>
        </is>
      </c>
      <c r="N63" s="3" t="n"/>
      <c r="O63" s="3" t="n"/>
      <c r="P63" s="47" t="n"/>
      <c r="Q63" s="47" t="n"/>
      <c r="R63" s="33" t="n"/>
      <c r="S63" s="33" t="n"/>
      <c r="T63" s="33" t="n"/>
      <c r="U63" s="65" t="n"/>
      <c r="V63" s="65" t="n"/>
      <c r="W63" s="65" t="n"/>
    </row>
    <row r="64" customFormat="1" s="4">
      <c r="A64" s="51" t="inlineStr">
        <is>
          <t>Kact, Kinact</t>
        </is>
      </c>
      <c r="B64" s="55" t="inlineStr">
        <is>
          <t>Gprotein activation and inactivation</t>
        </is>
      </c>
      <c r="C64" s="7" t="inlineStr">
        <is>
          <t>Masuho et al., 2015</t>
        </is>
      </c>
      <c r="D64" s="7" t="inlineStr">
        <is>
          <t>Go</t>
        </is>
      </c>
      <c r="E64" s="7" t="inlineStr">
        <is>
          <t>M3R</t>
        </is>
      </c>
      <c r="F64" s="7" t="inlineStr">
        <is>
          <t>BRET</t>
        </is>
      </c>
      <c r="G64" s="7" t="inlineStr">
        <is>
          <t>HEK293 cells</t>
        </is>
      </c>
      <c r="H64" s="87" t="inlineStr">
        <is>
          <t>10.8 ± 0.6</t>
        </is>
      </c>
      <c r="I64" s="159" t="inlineStr">
        <is>
          <t>5.77 ± 0.00</t>
        </is>
      </c>
      <c r="J64" s="125" t="n"/>
      <c r="K64" s="131" t="inlineStr">
        <is>
          <t>Activation rates stated in paragraph on page 6 and deactivation on Fig3d</t>
        </is>
      </c>
      <c r="L64" s="30" t="inlineStr">
        <is>
          <t>SR33</t>
        </is>
      </c>
      <c r="M64" s="3" t="inlineStr">
        <is>
          <t>https://doi.org/10.1126/scisignal.aab4068</t>
        </is>
      </c>
      <c r="N64" s="3" t="n"/>
      <c r="O64" s="3" t="n"/>
      <c r="P64" s="47" t="n"/>
      <c r="Q64" s="47" t="n"/>
      <c r="R64" s="33" t="n"/>
      <c r="S64" s="33" t="n"/>
      <c r="T64" s="33" t="n"/>
      <c r="U64" s="65" t="n"/>
      <c r="V64" s="65" t="n"/>
      <c r="W64" s="65" t="n"/>
    </row>
    <row r="65" customFormat="1" s="4">
      <c r="A65" s="51" t="inlineStr">
        <is>
          <t>Kact, Kinact</t>
        </is>
      </c>
      <c r="B65" s="55" t="inlineStr">
        <is>
          <t>Gprotein activation and inactivation</t>
        </is>
      </c>
      <c r="C65" s="7" t="inlineStr">
        <is>
          <t>Masuho et al., 2015</t>
        </is>
      </c>
      <c r="D65" s="7" t="inlineStr">
        <is>
          <t>Gi1</t>
        </is>
      </c>
      <c r="E65" s="7" t="inlineStr">
        <is>
          <t>M3R</t>
        </is>
      </c>
      <c r="F65" s="7" t="inlineStr">
        <is>
          <t>BRET</t>
        </is>
      </c>
      <c r="G65" s="7" t="inlineStr">
        <is>
          <t>HEK293 cells</t>
        </is>
      </c>
      <c r="H65" s="87" t="inlineStr">
        <is>
          <t>15.6 ± 0.6</t>
        </is>
      </c>
      <c r="I65" s="159" t="inlineStr">
        <is>
          <t>4.72 ± 0.00</t>
        </is>
      </c>
      <c r="J65" s="125" t="n"/>
      <c r="K65" s="131" t="inlineStr">
        <is>
          <t>Activation rates stated in paragraph on page 6 and deactivation on Fig3d</t>
        </is>
      </c>
      <c r="L65" s="34" t="inlineStr">
        <is>
          <t>SR33</t>
        </is>
      </c>
      <c r="M65" t="inlineStr">
        <is>
          <t>https://doi.org/10.1126/scisignal.aab4068</t>
        </is>
      </c>
      <c r="P65" s="33" t="n"/>
      <c r="Q65" s="33" t="n"/>
      <c r="R65" s="33" t="n"/>
      <c r="S65" s="33" t="n"/>
      <c r="T65" s="33" t="n"/>
    </row>
    <row r="66" customFormat="1" s="4">
      <c r="A66" s="51" t="inlineStr">
        <is>
          <t>Kact, Kinact</t>
        </is>
      </c>
      <c r="B66" s="55" t="inlineStr">
        <is>
          <t>Gprotein activation and inactivation</t>
        </is>
      </c>
      <c r="C66" s="7" t="inlineStr">
        <is>
          <t>Masuho et al., 2015</t>
        </is>
      </c>
      <c r="D66" s="7" t="inlineStr">
        <is>
          <t>Gi2</t>
        </is>
      </c>
      <c r="E66" s="7" t="inlineStr">
        <is>
          <t>M3R</t>
        </is>
      </c>
      <c r="F66" s="7" t="inlineStr">
        <is>
          <t>BRET</t>
        </is>
      </c>
      <c r="G66" s="7" t="inlineStr">
        <is>
          <t>HEK293 cells</t>
        </is>
      </c>
      <c r="H66" s="87" t="inlineStr">
        <is>
          <t>22.2 ± 0.6</t>
        </is>
      </c>
      <c r="I66" s="159" t="inlineStr">
        <is>
          <t>6.16 ± 0.00</t>
        </is>
      </c>
      <c r="J66" s="125" t="n"/>
      <c r="K66" s="131" t="inlineStr">
        <is>
          <t>Activation rates stated in paragraph on page 6 and deactivation on Fig3d</t>
        </is>
      </c>
      <c r="L66" s="34" t="inlineStr">
        <is>
          <t>SR33</t>
        </is>
      </c>
      <c r="M66" s="35" t="inlineStr">
        <is>
          <t>https://doi.org/10.1126/scisignal.aab4068</t>
        </is>
      </c>
      <c r="N66" s="33" t="n"/>
      <c r="O66" s="33" t="n"/>
      <c r="P66" s="33" t="n"/>
      <c r="Q66" s="33" t="n"/>
      <c r="R66" s="33" t="n"/>
      <c r="S66" s="33" t="n"/>
      <c r="T66" s="33" t="n"/>
    </row>
    <row r="67" customFormat="1" s="4">
      <c r="A67" s="51" t="inlineStr">
        <is>
          <t>Kact, Kinact</t>
        </is>
      </c>
      <c r="B67" s="55" t="inlineStr">
        <is>
          <t>Gprotein activation and inactivation</t>
        </is>
      </c>
      <c r="C67" s="7" t="inlineStr">
        <is>
          <t>Masuho et al., 2015</t>
        </is>
      </c>
      <c r="D67" s="7" t="inlineStr">
        <is>
          <t>Gi3</t>
        </is>
      </c>
      <c r="E67" s="7" t="inlineStr">
        <is>
          <t>M3R</t>
        </is>
      </c>
      <c r="F67" s="7" t="inlineStr">
        <is>
          <t>BRET</t>
        </is>
      </c>
      <c r="G67" s="7" t="inlineStr">
        <is>
          <t>HEK293 cells</t>
        </is>
      </c>
      <c r="H67" s="87" t="inlineStr">
        <is>
          <t>15 ± 0.6</t>
        </is>
      </c>
      <c r="I67" s="159" t="inlineStr">
        <is>
          <t>4.33 ± 0.00</t>
        </is>
      </c>
      <c r="J67" s="125" t="n"/>
      <c r="K67" s="131" t="inlineStr">
        <is>
          <t>Activation rates stated in paragraph on page 6 and deactivation on Fig3d</t>
        </is>
      </c>
      <c r="L67" s="34" t="inlineStr">
        <is>
          <t>SR33</t>
        </is>
      </c>
      <c r="M67" s="35" t="inlineStr">
        <is>
          <t>https://doi.org/10.1126/scisignal.aab4068</t>
        </is>
      </c>
      <c r="N67" s="33" t="n"/>
      <c r="O67" s="33" t="n"/>
      <c r="P67" s="33" t="n"/>
      <c r="Q67" s="33" t="n"/>
      <c r="R67" s="33" t="n"/>
      <c r="S67" s="33" t="n"/>
      <c r="T67" s="33" t="n"/>
    </row>
    <row r="68" customFormat="1" s="4">
      <c r="A68" s="51" t="inlineStr">
        <is>
          <t>Kact, Kinact</t>
        </is>
      </c>
      <c r="B68" s="55" t="inlineStr">
        <is>
          <t>Gprotein activation and inactivation</t>
        </is>
      </c>
      <c r="C68" s="7" t="inlineStr">
        <is>
          <t>Masuho et al., 2015</t>
        </is>
      </c>
      <c r="D68" s="7" t="inlineStr">
        <is>
          <t>Gz</t>
        </is>
      </c>
      <c r="E68" s="7" t="inlineStr">
        <is>
          <t>M3R</t>
        </is>
      </c>
      <c r="F68" s="7" t="inlineStr">
        <is>
          <t>BRET</t>
        </is>
      </c>
      <c r="G68" s="7" t="inlineStr">
        <is>
          <t>HEK293 cells</t>
        </is>
      </c>
      <c r="H68" s="8" t="inlineStr">
        <is>
          <t>1.44 ± 0.06</t>
        </is>
      </c>
      <c r="I68" s="159" t="inlineStr">
        <is>
          <t>0.66 ± 0.00</t>
        </is>
      </c>
      <c r="J68" s="125" t="n"/>
      <c r="K68" s="131" t="inlineStr">
        <is>
          <t>Activation rates stated in paragraph on page 6 and deactivation on Fig3d</t>
        </is>
      </c>
      <c r="L68" s="30" t="inlineStr">
        <is>
          <t>SR33</t>
        </is>
      </c>
      <c r="M68" s="29" t="inlineStr">
        <is>
          <t>https://doi.org/10.1126/scisignal.aab4068</t>
        </is>
      </c>
      <c r="N68" s="46" t="n"/>
      <c r="O68" s="47" t="n"/>
      <c r="P68" s="47" t="n"/>
      <c r="Q68" s="47" t="n"/>
      <c r="R68" s="33" t="n"/>
      <c r="S68" s="33" t="n"/>
      <c r="T68" s="33" t="n"/>
      <c r="U68" s="34" t="n"/>
    </row>
    <row r="69" customFormat="1" s="4">
      <c r="A69" s="51" t="inlineStr">
        <is>
          <t>Kact, Kinact</t>
        </is>
      </c>
      <c r="B69" s="55" t="inlineStr">
        <is>
          <t>Gprotein activation and inactivation</t>
        </is>
      </c>
      <c r="C69" s="7" t="inlineStr">
        <is>
          <t>Masuho et al., 2015</t>
        </is>
      </c>
      <c r="D69" s="7" t="inlineStr">
        <is>
          <t>GoA</t>
        </is>
      </c>
      <c r="E69" s="7" t="inlineStr">
        <is>
          <t>D2R</t>
        </is>
      </c>
      <c r="F69" s="7" t="inlineStr">
        <is>
          <t>BRET</t>
        </is>
      </c>
      <c r="G69" s="7" t="inlineStr">
        <is>
          <t>HEK293 cells</t>
        </is>
      </c>
      <c r="H69" s="158" t="inlineStr">
        <is>
          <t>7.18240095 ± 0.00</t>
        </is>
      </c>
      <c r="I69" s="124" t="n"/>
      <c r="J69" s="125" t="n"/>
      <c r="K69" s="157" t="inlineStr">
        <is>
          <t>Manually extracted from Fig4s</t>
        </is>
      </c>
      <c r="L69" s="30" t="inlineStr">
        <is>
          <t>SR33</t>
        </is>
      </c>
      <c r="M69" s="29" t="inlineStr">
        <is>
          <t>https://doi.org/10.1126/scisignal.aab4068</t>
        </is>
      </c>
      <c r="N69" s="46" t="n"/>
      <c r="O69" s="47" t="n"/>
      <c r="P69" s="47" t="n"/>
      <c r="Q69" s="47" t="n"/>
      <c r="R69" s="33" t="n"/>
      <c r="S69" s="33" t="n"/>
      <c r="T69" s="33" t="n"/>
      <c r="U69" s="34" t="n"/>
    </row>
    <row r="70" customFormat="1" s="4">
      <c r="A70" s="51" t="inlineStr">
        <is>
          <t>Kact, Kinact</t>
        </is>
      </c>
      <c r="B70" s="55" t="inlineStr">
        <is>
          <t>Gprotein activation and inactivation</t>
        </is>
      </c>
      <c r="C70" s="7" t="inlineStr">
        <is>
          <t>Masuho et al., 2015</t>
        </is>
      </c>
      <c r="D70" s="7" t="inlineStr">
        <is>
          <t>GoB</t>
        </is>
      </c>
      <c r="E70" s="7" t="inlineStr">
        <is>
          <t>D2R</t>
        </is>
      </c>
      <c r="F70" s="7" t="inlineStr">
        <is>
          <t>BRET</t>
        </is>
      </c>
      <c r="G70" s="7" t="inlineStr">
        <is>
          <t>HEK293 cells</t>
        </is>
      </c>
      <c r="H70" s="158" t="inlineStr">
        <is>
          <t>5.867499 ± 0.00</t>
        </is>
      </c>
      <c r="I70" s="124" t="n"/>
      <c r="J70" s="125" t="n"/>
      <c r="K70" s="157" t="inlineStr">
        <is>
          <t>Manually extracted from Fig4s</t>
        </is>
      </c>
      <c r="L70" s="30" t="inlineStr">
        <is>
          <t>SR33</t>
        </is>
      </c>
      <c r="M70" s="29" t="inlineStr">
        <is>
          <t>https://doi.org/10.1126/scisignal.aab4068</t>
        </is>
      </c>
      <c r="N70" s="46" t="n"/>
      <c r="O70" s="47" t="n"/>
      <c r="P70" s="47" t="n"/>
      <c r="Q70" s="47" t="n"/>
      <c r="R70" s="33" t="n"/>
      <c r="S70" s="33" t="n"/>
      <c r="T70" s="33" t="n"/>
      <c r="U70" s="34" t="n"/>
    </row>
    <row r="71" customFormat="1" s="4">
      <c r="A71" s="51" t="inlineStr">
        <is>
          <t>Kact, Kinact</t>
        </is>
      </c>
      <c r="B71" s="55" t="inlineStr">
        <is>
          <t>Gprotein activation and inactivation</t>
        </is>
      </c>
      <c r="C71" s="7" t="inlineStr">
        <is>
          <t>Masuho et al., 2015</t>
        </is>
      </c>
      <c r="D71" s="7" t="inlineStr">
        <is>
          <t>Gi1</t>
        </is>
      </c>
      <c r="E71" s="7" t="inlineStr">
        <is>
          <t>D2R</t>
        </is>
      </c>
      <c r="F71" s="7" t="inlineStr">
        <is>
          <t>BRET</t>
        </is>
      </c>
      <c r="G71" s="7" t="inlineStr">
        <is>
          <t>HEK293 cells</t>
        </is>
      </c>
      <c r="H71" s="158" t="inlineStr">
        <is>
          <t>5.546731 ± 0.00</t>
        </is>
      </c>
      <c r="I71" s="124" t="n"/>
      <c r="J71" s="125" t="n"/>
      <c r="K71" s="157" t="inlineStr">
        <is>
          <t>Manually extracted from Fig4s</t>
        </is>
      </c>
      <c r="L71" s="30" t="inlineStr">
        <is>
          <t>SR33</t>
        </is>
      </c>
      <c r="M71" s="29" t="inlineStr">
        <is>
          <t>https://doi.org/10.1126/scisignal.aab4068</t>
        </is>
      </c>
      <c r="N71" s="46" t="n"/>
      <c r="O71" s="47" t="n"/>
      <c r="P71" s="47" t="n"/>
      <c r="Q71" s="47" t="n"/>
      <c r="R71" s="33" t="n"/>
      <c r="S71" s="33" t="n"/>
      <c r="T71" s="33" t="n"/>
      <c r="U71" s="34" t="n"/>
    </row>
    <row r="72" customFormat="1" s="4">
      <c r="A72" s="51" t="inlineStr">
        <is>
          <t>Kact, Kinact</t>
        </is>
      </c>
      <c r="B72" s="55" t="inlineStr">
        <is>
          <t>Gprotein activation and inactivation</t>
        </is>
      </c>
      <c r="C72" s="7" t="inlineStr">
        <is>
          <t>Masuho et al., 2015</t>
        </is>
      </c>
      <c r="D72" s="7" t="inlineStr">
        <is>
          <t>Gi2</t>
        </is>
      </c>
      <c r="E72" s="7" t="inlineStr">
        <is>
          <t>D2R</t>
        </is>
      </c>
      <c r="F72" s="7" t="inlineStr">
        <is>
          <t>BRET</t>
        </is>
      </c>
      <c r="G72" s="7" t="inlineStr">
        <is>
          <t>HEK293 cells</t>
        </is>
      </c>
      <c r="H72" s="158" t="inlineStr">
        <is>
          <t>6.054921 ± 0.00</t>
        </is>
      </c>
      <c r="I72" s="124" t="n"/>
      <c r="J72" s="125" t="n"/>
      <c r="K72" s="157" t="inlineStr">
        <is>
          <t>Manually extracted from Fig4s</t>
        </is>
      </c>
      <c r="L72" s="30" t="inlineStr">
        <is>
          <t>SR33</t>
        </is>
      </c>
      <c r="M72" s="29" t="inlineStr">
        <is>
          <t>https://doi.org/10.1126/scisignal.aab4068</t>
        </is>
      </c>
      <c r="N72" s="46" t="n"/>
      <c r="O72" s="47" t="n"/>
      <c r="P72" s="47" t="n"/>
      <c r="Q72" s="47" t="n"/>
      <c r="R72" s="33" t="n"/>
      <c r="S72" s="33" t="n"/>
      <c r="T72" s="33" t="n"/>
      <c r="U72" s="34" t="n"/>
    </row>
    <row r="73" customFormat="1" s="4">
      <c r="A73" s="51" t="inlineStr">
        <is>
          <t>Kact, Kinact</t>
        </is>
      </c>
      <c r="B73" s="55" t="inlineStr">
        <is>
          <t>Gprotein activation and inactivation</t>
        </is>
      </c>
      <c r="C73" s="7" t="inlineStr">
        <is>
          <t>Masuho et al., 2015</t>
        </is>
      </c>
      <c r="D73" s="7" t="inlineStr">
        <is>
          <t>Gi3</t>
        </is>
      </c>
      <c r="E73" s="7" t="inlineStr">
        <is>
          <t>D2R</t>
        </is>
      </c>
      <c r="F73" s="7" t="inlineStr">
        <is>
          <t>BRET</t>
        </is>
      </c>
      <c r="G73" s="7" t="inlineStr">
        <is>
          <t>HEK293 cells</t>
        </is>
      </c>
      <c r="H73" s="158" t="inlineStr">
        <is>
          <t>5.827786 ± 0.00</t>
        </is>
      </c>
      <c r="I73" s="124" t="n"/>
      <c r="J73" s="125" t="n"/>
      <c r="K73" s="157" t="inlineStr">
        <is>
          <t>Manually extracted from Fig4s</t>
        </is>
      </c>
      <c r="L73" s="30" t="inlineStr">
        <is>
          <t>SR33</t>
        </is>
      </c>
      <c r="M73" s="29" t="inlineStr">
        <is>
          <t>https://doi.org/10.1126/scisignal.aab4068</t>
        </is>
      </c>
      <c r="N73" s="46" t="n"/>
      <c r="O73" s="47" t="n"/>
      <c r="P73" s="47" t="n"/>
      <c r="Q73" s="47" t="n"/>
      <c r="R73" s="33" t="n"/>
      <c r="S73" s="33" t="n"/>
      <c r="T73" s="33" t="n"/>
      <c r="U73" s="34" t="n"/>
    </row>
    <row r="74" customFormat="1" s="4">
      <c r="A74" s="51" t="inlineStr">
        <is>
          <t>Kact, Kinact</t>
        </is>
      </c>
      <c r="B74" s="55" t="inlineStr">
        <is>
          <t>Gprotein activation and inactivation</t>
        </is>
      </c>
      <c r="C74" s="7" t="inlineStr">
        <is>
          <t>Masuho et al., 2015</t>
        </is>
      </c>
      <c r="D74" s="7" t="inlineStr">
        <is>
          <t>Gz</t>
        </is>
      </c>
      <c r="E74" s="7" t="inlineStr">
        <is>
          <t>D2R</t>
        </is>
      </c>
      <c r="F74" s="7" t="inlineStr">
        <is>
          <t>BRET</t>
        </is>
      </c>
      <c r="G74" s="7" t="inlineStr">
        <is>
          <t>HEK293 cells</t>
        </is>
      </c>
      <c r="H74" s="158" t="inlineStr">
        <is>
          <t>0.65651 ± 0.00</t>
        </is>
      </c>
      <c r="I74" s="124" t="n"/>
      <c r="J74" s="125" t="n"/>
      <c r="K74" s="157" t="inlineStr">
        <is>
          <t>Manually extracted from Fig4s</t>
        </is>
      </c>
      <c r="L74" s="30" t="inlineStr">
        <is>
          <t>SR33</t>
        </is>
      </c>
      <c r="M74" s="29" t="inlineStr">
        <is>
          <t>https://doi.org/10.1126/scisignal.aab4068</t>
        </is>
      </c>
      <c r="N74" s="46" t="n"/>
      <c r="O74" s="47" t="n"/>
      <c r="P74" s="47" t="n"/>
      <c r="Q74" s="47" t="n"/>
      <c r="R74" s="33" t="n"/>
      <c r="S74" s="33" t="n"/>
      <c r="T74" s="33" t="n"/>
      <c r="U74" s="34" t="n"/>
    </row>
    <row r="75" customFormat="1" s="4">
      <c r="A75" s="51" t="inlineStr">
        <is>
          <t>Kact, Kinact</t>
        </is>
      </c>
      <c r="B75" s="55" t="inlineStr">
        <is>
          <t>Gprotein activation and inactivation</t>
        </is>
      </c>
      <c r="C75" s="7" t="inlineStr">
        <is>
          <t>Masuho et al., 2015</t>
        </is>
      </c>
      <c r="D75" s="7" t="inlineStr">
        <is>
          <t>G15</t>
        </is>
      </c>
      <c r="E75" s="7" t="inlineStr">
        <is>
          <t>M1R</t>
        </is>
      </c>
      <c r="F75" s="7" t="inlineStr">
        <is>
          <t>BRET</t>
        </is>
      </c>
      <c r="G75" s="7" t="inlineStr">
        <is>
          <t>HEK293 cells</t>
        </is>
      </c>
      <c r="H75" s="158" t="inlineStr">
        <is>
          <t>6.494094538 ± 0.00</t>
        </is>
      </c>
      <c r="I75" s="124" t="n"/>
      <c r="J75" s="125" t="n"/>
      <c r="K75" s="157" t="inlineStr">
        <is>
          <t>Manually extracted from Fig4s</t>
        </is>
      </c>
      <c r="L75" s="30" t="inlineStr">
        <is>
          <t>SR33</t>
        </is>
      </c>
      <c r="M75" s="29" t="inlineStr">
        <is>
          <t>https://doi.org/10.1126/scisignal.aab4068</t>
        </is>
      </c>
      <c r="N75" s="46" t="n"/>
      <c r="O75" s="47" t="n"/>
      <c r="P75" s="47" t="n"/>
      <c r="Q75" s="47" t="n"/>
      <c r="R75" s="33" t="n"/>
      <c r="S75" s="33" t="n"/>
      <c r="T75" s="33" t="n"/>
      <c r="U75" s="34" t="n"/>
    </row>
    <row r="76" customFormat="1" s="4">
      <c r="A76" s="51" t="inlineStr">
        <is>
          <t>Kact, Kinact</t>
        </is>
      </c>
      <c r="B76" s="55" t="inlineStr">
        <is>
          <t>Gprotein activation and inactivation</t>
        </is>
      </c>
      <c r="C76" s="7" t="inlineStr">
        <is>
          <t>Masuho et al., 2015</t>
        </is>
      </c>
      <c r="D76" s="7" t="inlineStr">
        <is>
          <t>G14</t>
        </is>
      </c>
      <c r="E76" s="7" t="inlineStr">
        <is>
          <t>M1R</t>
        </is>
      </c>
      <c r="F76" s="7" t="inlineStr">
        <is>
          <t>BRET</t>
        </is>
      </c>
      <c r="G76" s="7" t="inlineStr">
        <is>
          <t>HEK293 cells</t>
        </is>
      </c>
      <c r="H76" s="158" t="inlineStr">
        <is>
          <t>6.104603 ± 0.00</t>
        </is>
      </c>
      <c r="I76" s="124" t="n"/>
      <c r="J76" s="125" t="n"/>
      <c r="K76" s="157" t="inlineStr">
        <is>
          <t>Manually extracted from Fig4s</t>
        </is>
      </c>
      <c r="L76" s="30" t="inlineStr">
        <is>
          <t>SR33</t>
        </is>
      </c>
      <c r="M76" s="29" t="inlineStr">
        <is>
          <t>https://doi.org/10.1126/scisignal.aab4068</t>
        </is>
      </c>
      <c r="N76" s="46" t="n"/>
      <c r="O76" s="47" t="n"/>
      <c r="P76" s="47" t="n"/>
      <c r="Q76" s="47" t="n"/>
      <c r="R76" s="33" t="n"/>
      <c r="S76" s="33" t="n"/>
      <c r="T76" s="33" t="n"/>
      <c r="U76" s="34" t="n"/>
    </row>
    <row r="77" customFormat="1" s="4">
      <c r="A77" s="51" t="inlineStr">
        <is>
          <t>Kact, Kinact</t>
        </is>
      </c>
      <c r="B77" s="55" t="inlineStr">
        <is>
          <t>Gprotein activation and inactivation</t>
        </is>
      </c>
      <c r="C77" s="7" t="inlineStr">
        <is>
          <t>Masuho et al., 2015</t>
        </is>
      </c>
      <c r="D77" s="7" t="inlineStr">
        <is>
          <t>G11</t>
        </is>
      </c>
      <c r="E77" s="7" t="inlineStr">
        <is>
          <t>M1R</t>
        </is>
      </c>
      <c r="F77" s="7" t="inlineStr">
        <is>
          <t>BRET</t>
        </is>
      </c>
      <c r="G77" s="7" t="inlineStr">
        <is>
          <t>HEK293 cells</t>
        </is>
      </c>
      <c r="H77" s="158" t="inlineStr">
        <is>
          <t>7.116866 ± 0.00</t>
        </is>
      </c>
      <c r="I77" s="124" t="n"/>
      <c r="J77" s="125" t="n"/>
      <c r="K77" s="157" t="inlineStr">
        <is>
          <t>Manually extracted from Fig4s</t>
        </is>
      </c>
      <c r="L77" s="30" t="inlineStr">
        <is>
          <t>SR33</t>
        </is>
      </c>
      <c r="M77" s="29" t="inlineStr">
        <is>
          <t>https://doi.org/10.1126/scisignal.aab4068</t>
        </is>
      </c>
      <c r="N77" s="46" t="n"/>
      <c r="O77" s="47" t="n"/>
      <c r="P77" s="47" t="n"/>
      <c r="Q77" s="47" t="n"/>
      <c r="R77" s="33" t="n"/>
      <c r="S77" s="33" t="n"/>
      <c r="T77" s="33" t="n"/>
      <c r="U77" s="34" t="n"/>
    </row>
    <row r="78" customFormat="1" s="4">
      <c r="A78" s="51" t="inlineStr">
        <is>
          <t>Kact, Kinact</t>
        </is>
      </c>
      <c r="B78" s="55" t="inlineStr">
        <is>
          <t>Gprotein activation and inactivation</t>
        </is>
      </c>
      <c r="C78" s="7" t="inlineStr">
        <is>
          <t>Masuho et al., 2015</t>
        </is>
      </c>
      <c r="D78" s="7" t="inlineStr">
        <is>
          <t>Gq</t>
        </is>
      </c>
      <c r="E78" s="7" t="inlineStr">
        <is>
          <t>M1R</t>
        </is>
      </c>
      <c r="F78" s="7" t="inlineStr">
        <is>
          <t>BRET</t>
        </is>
      </c>
      <c r="G78" s="7" t="inlineStr">
        <is>
          <t>HEK293 cells</t>
        </is>
      </c>
      <c r="H78" s="158" t="inlineStr">
        <is>
          <t>7.567522 ± 0.00</t>
        </is>
      </c>
      <c r="I78" s="124" t="n"/>
      <c r="J78" s="125" t="n"/>
      <c r="K78" s="157" t="inlineStr">
        <is>
          <t>Manually extracted from Fig4s</t>
        </is>
      </c>
      <c r="L78" s="30" t="inlineStr">
        <is>
          <t>SR33</t>
        </is>
      </c>
      <c r="M78" s="29" t="inlineStr">
        <is>
          <t>https://doi.org/10.1126/scisignal.aab4068</t>
        </is>
      </c>
      <c r="N78" s="46" t="n"/>
      <c r="O78" s="47" t="n"/>
      <c r="P78" s="47" t="n"/>
      <c r="Q78" s="47" t="n"/>
      <c r="R78" s="33" t="n"/>
      <c r="S78" s="33" t="n"/>
      <c r="T78" s="33" t="n"/>
      <c r="U78" s="34" t="n"/>
    </row>
    <row r="79" customFormat="1" s="4">
      <c r="A79" s="51" t="inlineStr">
        <is>
          <t>Kact, Kinact</t>
        </is>
      </c>
      <c r="B79" s="55" t="inlineStr">
        <is>
          <t>Gprotein activation and inactivation</t>
        </is>
      </c>
      <c r="C79" s="7" t="inlineStr">
        <is>
          <t>Masuho et al., 2015</t>
        </is>
      </c>
      <c r="D79" s="7" t="inlineStr">
        <is>
          <t>GsS</t>
        </is>
      </c>
      <c r="E79" s="7" t="inlineStr">
        <is>
          <t>D1R</t>
        </is>
      </c>
      <c r="F79" s="7" t="inlineStr">
        <is>
          <t>BRET</t>
        </is>
      </c>
      <c r="G79" s="7" t="inlineStr">
        <is>
          <t>HEK293 cells</t>
        </is>
      </c>
      <c r="H79" s="158" t="inlineStr">
        <is>
          <t>7.173333 ± 0.00</t>
        </is>
      </c>
      <c r="I79" s="124" t="n"/>
      <c r="J79" s="125" t="n"/>
      <c r="K79" s="157" t="inlineStr">
        <is>
          <t>Manually extracted from Fig4s</t>
        </is>
      </c>
      <c r="L79" s="30" t="inlineStr">
        <is>
          <t>SR33</t>
        </is>
      </c>
      <c r="M79" s="29" t="inlineStr">
        <is>
          <t>https://doi.org/10.1126/scisignal.aab4068</t>
        </is>
      </c>
      <c r="N79" s="46" t="n"/>
      <c r="O79" s="47" t="n"/>
      <c r="P79" s="47" t="n"/>
      <c r="Q79" s="47" t="n"/>
      <c r="R79" s="33" t="n"/>
      <c r="S79" s="33" t="n"/>
      <c r="T79" s="33" t="n"/>
      <c r="U79" s="34" t="n"/>
    </row>
    <row r="80" customFormat="1" s="4">
      <c r="A80" s="51" t="inlineStr">
        <is>
          <t>Kact, Kinact</t>
        </is>
      </c>
      <c r="B80" s="55" t="inlineStr">
        <is>
          <t>Gprotein activation and inactivation</t>
        </is>
      </c>
      <c r="C80" s="7" t="inlineStr">
        <is>
          <t>Masuho et al., 2015</t>
        </is>
      </c>
      <c r="D80" s="7" t="inlineStr">
        <is>
          <t>GsL</t>
        </is>
      </c>
      <c r="E80" s="7" t="inlineStr">
        <is>
          <t>D1R</t>
        </is>
      </c>
      <c r="F80" s="7" t="inlineStr">
        <is>
          <t>BRET</t>
        </is>
      </c>
      <c r="G80" s="7" t="inlineStr">
        <is>
          <t>HEK293 cells</t>
        </is>
      </c>
      <c r="H80" s="158" t="inlineStr">
        <is>
          <t>5.892272 ± 0.00</t>
        </is>
      </c>
      <c r="I80" s="124" t="n"/>
      <c r="J80" s="125" t="n"/>
      <c r="K80" s="157" t="inlineStr">
        <is>
          <t>Manually extracted from Fig4s</t>
        </is>
      </c>
      <c r="L80" s="30" t="inlineStr">
        <is>
          <t>SR33</t>
        </is>
      </c>
      <c r="M80" s="29" t="inlineStr">
        <is>
          <t>https://doi.org/10.1126/scisignal.aab4068</t>
        </is>
      </c>
      <c r="N80" s="46" t="n"/>
      <c r="O80" s="47" t="n"/>
      <c r="P80" s="47" t="n"/>
      <c r="Q80" s="47" t="n"/>
      <c r="R80" s="33" t="n"/>
      <c r="S80" s="33" t="n"/>
      <c r="T80" s="33" t="n"/>
      <c r="U80" s="34" t="n"/>
    </row>
    <row r="81" customFormat="1" s="4">
      <c r="A81" s="51" t="inlineStr">
        <is>
          <t>Kact, Kinact</t>
        </is>
      </c>
      <c r="B81" s="55" t="inlineStr">
        <is>
          <t>Gprotein activation and inactivation</t>
        </is>
      </c>
      <c r="C81" s="7" t="inlineStr">
        <is>
          <t>Masuho et al., 2015</t>
        </is>
      </c>
      <c r="D81" s="7" t="inlineStr">
        <is>
          <t>Golf</t>
        </is>
      </c>
      <c r="E81" s="7" t="inlineStr">
        <is>
          <t>D1R</t>
        </is>
      </c>
      <c r="F81" s="7" t="inlineStr">
        <is>
          <t>BRET</t>
        </is>
      </c>
      <c r="G81" s="7" t="inlineStr">
        <is>
          <t>HEK293 cells</t>
        </is>
      </c>
      <c r="H81" s="158" t="inlineStr">
        <is>
          <t>6.912577 ± 0.00</t>
        </is>
      </c>
      <c r="I81" s="124" t="n"/>
      <c r="J81" s="125" t="n"/>
      <c r="K81" s="157" t="inlineStr">
        <is>
          <t>Manually extracted from Fig4s</t>
        </is>
      </c>
      <c r="L81" s="30" t="inlineStr">
        <is>
          <t>SR33</t>
        </is>
      </c>
      <c r="M81" s="29" t="inlineStr">
        <is>
          <t>https://doi.org/10.1126/scisignal.aab4068</t>
        </is>
      </c>
      <c r="N81" s="46" t="n"/>
      <c r="O81" s="47" t="n"/>
      <c r="P81" s="47" t="n"/>
      <c r="Q81" s="47" t="n"/>
      <c r="R81" s="33" t="n"/>
      <c r="S81" s="33" t="n"/>
      <c r="T81" s="33" t="n"/>
      <c r="U81" s="34" t="n"/>
    </row>
    <row r="82" customFormat="1" s="4">
      <c r="A82" s="51" t="inlineStr">
        <is>
          <t>Kact, Kinact</t>
        </is>
      </c>
      <c r="B82" s="55" t="inlineStr">
        <is>
          <t>Gprotein activation and inactivation</t>
        </is>
      </c>
      <c r="C82" s="7" t="inlineStr">
        <is>
          <t>Masuho et al., 2015</t>
        </is>
      </c>
      <c r="D82" s="7" t="inlineStr">
        <is>
          <t>G13</t>
        </is>
      </c>
      <c r="E82" s="7" t="inlineStr">
        <is>
          <t>M1R</t>
        </is>
      </c>
      <c r="F82" s="7" t="inlineStr">
        <is>
          <t>BRET</t>
        </is>
      </c>
      <c r="G82" s="7" t="inlineStr">
        <is>
          <t>HEK293 cells</t>
        </is>
      </c>
      <c r="H82" s="158" t="inlineStr">
        <is>
          <t>1.368094 ± 0.00</t>
        </is>
      </c>
      <c r="I82" s="124" t="n"/>
      <c r="J82" s="125" t="n"/>
      <c r="K82" s="157" t="inlineStr">
        <is>
          <t>Manually extracted from Fig4s</t>
        </is>
      </c>
      <c r="L82" s="30" t="inlineStr">
        <is>
          <t>SR33</t>
        </is>
      </c>
      <c r="M82" s="29" t="inlineStr">
        <is>
          <t>https://doi.org/10.1126/scisignal.aab4068</t>
        </is>
      </c>
      <c r="N82" s="46" t="n"/>
      <c r="O82" s="47" t="n"/>
      <c r="P82" s="47" t="n"/>
      <c r="Q82" s="47" t="n"/>
      <c r="R82" s="33" t="n"/>
      <c r="S82" s="33" t="n"/>
      <c r="T82" s="33" t="n"/>
      <c r="U82" s="34" t="n"/>
    </row>
    <row r="83" customFormat="1" s="4">
      <c r="A83" s="51" t="inlineStr">
        <is>
          <t>Kact, Kinact</t>
        </is>
      </c>
      <c r="B83" s="55" t="inlineStr">
        <is>
          <t>Gprotein activation and inactivation</t>
        </is>
      </c>
      <c r="C83" s="7" t="inlineStr">
        <is>
          <t>Brandt and Ross, 1986</t>
        </is>
      </c>
      <c r="D83" s="7" t="inlineStr">
        <is>
          <t>Gs</t>
        </is>
      </c>
      <c r="E83" s="4" t="inlineStr">
        <is>
          <t>β2AR</t>
        </is>
      </c>
      <c r="F83" s="7" t="inlineStr">
        <is>
          <t>Radiolabelling</t>
        </is>
      </c>
      <c r="G83" s="7" t="inlineStr">
        <is>
          <t>Purfied proteins and vesicles</t>
        </is>
      </c>
      <c r="H83" s="87" t="inlineStr">
        <is>
          <t>1.68 ± 0.09</t>
        </is>
      </c>
      <c r="I83" s="124" t="inlineStr">
        <is>
          <t>4 ± 0.00</t>
        </is>
      </c>
      <c r="J83" s="122" t="n"/>
      <c r="K83" s="132" t="inlineStr">
        <is>
          <t>Treated with dithiothreitol Table 1 page 1659</t>
        </is>
      </c>
      <c r="L83" s="30" t="inlineStr">
        <is>
          <t>SR4</t>
        </is>
      </c>
      <c r="M83" s="29" t="inlineStr">
        <is>
          <t>https://doi.org/10.1016/S0021-9258(17)35991-4</t>
        </is>
      </c>
      <c r="N83" s="46" t="n"/>
      <c r="O83" s="47" t="n"/>
      <c r="P83" s="47" t="n"/>
      <c r="Q83" s="47" t="n"/>
      <c r="R83" s="33" t="n"/>
      <c r="S83" s="33" t="n"/>
      <c r="T83" s="33" t="n"/>
      <c r="U83" s="34" t="n"/>
    </row>
    <row r="84" customFormat="1" s="4">
      <c r="A84" s="51" t="inlineStr">
        <is>
          <t>Kact, Kinact</t>
        </is>
      </c>
      <c r="B84" s="55" t="inlineStr">
        <is>
          <t>Gprotein activation and inactivation</t>
        </is>
      </c>
      <c r="C84" s="7" t="inlineStr">
        <is>
          <t>Mukhopadhyay, et al., 1999</t>
        </is>
      </c>
      <c r="D84" s="7" t="inlineStr">
        <is>
          <t>[α-32P]GDP</t>
        </is>
      </c>
      <c r="E84" s="7" t="inlineStr">
        <is>
          <t>M1R</t>
        </is>
      </c>
      <c r="F84" s="7" t="inlineStr">
        <is>
          <t>Radiolabelling</t>
        </is>
      </c>
      <c r="G84" s="7" t="inlineStr">
        <is>
          <t>Purfied proteins and vesicles</t>
        </is>
      </c>
      <c r="H84" s="87" t="inlineStr">
        <is>
          <t>8.1 ± 0.00</t>
        </is>
      </c>
      <c r="I84" s="124" t="inlineStr">
        <is>
          <t>0.78 ± 0.00</t>
        </is>
      </c>
      <c r="J84" s="125" t="n"/>
      <c r="K84" s="132" t="inlineStr">
        <is>
          <t>Fig 3 and 5</t>
        </is>
      </c>
      <c r="L84" s="30" t="inlineStr">
        <is>
          <t>SR35</t>
        </is>
      </c>
      <c r="M84" s="29" t="inlineStr">
        <is>
          <t>https://doi.org/10.1073/pnas.96.17.9539</t>
        </is>
      </c>
      <c r="N84" s="46" t="n"/>
      <c r="O84" s="47" t="n"/>
      <c r="P84" s="47" t="n"/>
      <c r="Q84" s="47" t="n"/>
      <c r="R84" s="33" t="n"/>
      <c r="S84" s="33" t="n"/>
      <c r="T84" s="33" t="n"/>
      <c r="U84" s="34" t="n"/>
    </row>
    <row r="85" customFormat="1" s="4">
      <c r="A85" s="51" t="inlineStr">
        <is>
          <t>Kact, Kinact</t>
        </is>
      </c>
      <c r="B85" s="55" t="inlineStr">
        <is>
          <t>Gprotein activation and inactivation</t>
        </is>
      </c>
      <c r="C85" s="116" t="inlineStr">
        <is>
          <t>Jensen et al., 2009</t>
        </is>
      </c>
      <c r="D85" s="116" t="inlineStr">
        <is>
          <t>Gq</t>
        </is>
      </c>
      <c r="E85" s="117" t="inlineStr">
        <is>
          <t>M1R</t>
        </is>
      </c>
      <c r="F85" s="134" t="inlineStr">
        <is>
          <t>FRET</t>
        </is>
      </c>
      <c r="G85" s="134" t="inlineStr">
        <is>
          <t>HEK293 Cells</t>
        </is>
      </c>
      <c r="H85" s="87" t="inlineStr">
        <is>
          <t>40 ± 13</t>
        </is>
      </c>
      <c r="I85" s="87" t="inlineStr">
        <is>
          <t>15.5 ± 2.5</t>
        </is>
      </c>
      <c r="J85" s="125" t="n"/>
      <c r="K85" s="133" t="inlineStr">
        <is>
          <t>Details are in raw calculation (Table 1 PLCB1 interaction data togethe with delay )</t>
        </is>
      </c>
      <c r="L85" s="30" t="inlineStr">
        <is>
          <t>SR22</t>
        </is>
      </c>
      <c r="M85" s="29" t="inlineStr">
        <is>
          <t>https://doi.org/10.1085/jgp.200810075</t>
        </is>
      </c>
      <c r="N85" s="46" t="n"/>
      <c r="O85" s="47" t="n"/>
      <c r="P85" s="47" t="n"/>
      <c r="Q85" s="47" t="n"/>
      <c r="R85" s="33" t="n"/>
      <c r="S85" s="33" t="n"/>
      <c r="T85" s="33" t="n"/>
      <c r="U85" s="34" t="n"/>
    </row>
    <row r="86" customFormat="1" s="4">
      <c r="A86" s="51" t="inlineStr">
        <is>
          <t>Kact, Kinact</t>
        </is>
      </c>
      <c r="B86" s="55" t="inlineStr">
        <is>
          <t>Gprotein activation and inactivation</t>
        </is>
      </c>
      <c r="C86" s="7" t="inlineStr">
        <is>
          <t>Fowler et al., 2007</t>
        </is>
      </c>
      <c r="D86" s="7" t="inlineStr">
        <is>
          <t>Go</t>
        </is>
      </c>
      <c r="E86" s="7" t="inlineStr">
        <is>
          <t>GABABR</t>
        </is>
      </c>
      <c r="F86" s="7" t="inlineStr">
        <is>
          <t>FRET</t>
        </is>
      </c>
      <c r="G86" s="7" t="inlineStr">
        <is>
          <t>HEK293 cells</t>
        </is>
      </c>
      <c r="H86" s="8" t="inlineStr">
        <is>
          <t>25.59 ± 2.28</t>
        </is>
      </c>
      <c r="I86" s="8" t="inlineStr">
        <is>
          <t>11.51 ± 1.23</t>
        </is>
      </c>
      <c r="J86" s="160" t="n"/>
      <c r="L86" s="34" t="inlineStr">
        <is>
          <t>SR12</t>
        </is>
      </c>
      <c r="M86" s="35" t="inlineStr">
        <is>
          <t>https://doi.org/10.1113/jphysiol.2006.123216</t>
        </is>
      </c>
      <c r="N86" s="33" t="n"/>
      <c r="O86" s="47" t="n"/>
      <c r="P86" s="33" t="n"/>
      <c r="Q86" s="33" t="n"/>
      <c r="R86" s="33" t="n"/>
      <c r="S86" s="33" t="n"/>
      <c r="T86" s="33" t="n"/>
      <c r="U86" s="34" t="n"/>
    </row>
    <row r="87" customFormat="1" s="4">
      <c r="A87" s="51" t="inlineStr">
        <is>
          <t>Kact, Kinact</t>
        </is>
      </c>
      <c r="B87" s="55" t="inlineStr">
        <is>
          <t>Gprotein activation and inactivation</t>
        </is>
      </c>
      <c r="C87" s="7" t="inlineStr">
        <is>
          <t>Mutneja et al., 2005</t>
        </is>
      </c>
      <c r="D87" s="7" t="inlineStr">
        <is>
          <t>Gq</t>
        </is>
      </c>
      <c r="E87" s="7" t="inlineStr">
        <is>
          <t>GABABR</t>
        </is>
      </c>
      <c r="F87" s="7" t="inlineStr">
        <is>
          <t>Western Analysis</t>
        </is>
      </c>
      <c r="G87" s="7" t="inlineStr">
        <is>
          <t>HEK293 cells</t>
        </is>
      </c>
      <c r="H87" s="109" t="n"/>
      <c r="I87" s="87" t="inlineStr">
        <is>
          <t>15.38 ± 0.892</t>
        </is>
      </c>
      <c r="J87" s="160" t="n"/>
      <c r="K87" s="65" t="inlineStr">
        <is>
          <t>Page 67 last para given tau and fig. 7c</t>
        </is>
      </c>
      <c r="L87" s="34" t="inlineStr">
        <is>
          <t>SR36</t>
        </is>
      </c>
      <c r="M87" s="35" t="inlineStr">
        <is>
          <t>https://doi.org/10.1007/s00424-004-1367-1</t>
        </is>
      </c>
      <c r="N87" s="33" t="n"/>
      <c r="O87" s="47" t="n"/>
      <c r="P87" s="33" t="n"/>
      <c r="Q87" s="33" t="n"/>
      <c r="R87" s="33" t="n"/>
      <c r="S87" s="33" t="n"/>
      <c r="T87" s="33" t="n"/>
      <c r="U87" s="34" t="n"/>
    </row>
    <row r="88" customFormat="1" s="4">
      <c r="A88" s="51" t="inlineStr">
        <is>
          <t>Kact, Kinact</t>
        </is>
      </c>
      <c r="B88" s="55" t="inlineStr">
        <is>
          <t>Gprotein activation and inactivation</t>
        </is>
      </c>
      <c r="C88" s="7" t="inlineStr">
        <is>
          <t>Hein et al. 2006</t>
        </is>
      </c>
      <c r="D88" s="7" t="inlineStr">
        <is>
          <t>Gs</t>
        </is>
      </c>
      <c r="E88" s="7" t="inlineStr">
        <is>
          <t>A2AR</t>
        </is>
      </c>
      <c r="F88" s="7" t="inlineStr">
        <is>
          <t>FRET</t>
        </is>
      </c>
      <c r="G88" s="7" t="inlineStr">
        <is>
          <t>HEK293T cells</t>
        </is>
      </c>
      <c r="H88" s="109" t="inlineStr">
        <is>
          <t>121.46 ± 7.62</t>
        </is>
      </c>
      <c r="I88" s="87" t="inlineStr">
        <is>
          <t>1.55 ± 0.064</t>
        </is>
      </c>
      <c r="J88" s="160" t="n"/>
      <c r="K88" s="65" t="inlineStr">
        <is>
          <t>Gs activation and deactivation, Gαs-YFP/CFP-γ2 FRET, 100 µM adenosine (τ_on at 1 mM) (Fig. 2C–D and text: τ_on 494 ± 31 ms, τ_off 38.6 ± 1.6 s, mean ± S.E.). k = 60/τ (min⁻¹); ± = 60·SE/τ² (delta method)</t>
        </is>
      </c>
      <c r="L88" s="34" t="inlineStr">
        <is>
          <t>SR17</t>
        </is>
      </c>
      <c r="M88" s="35" t="inlineStr">
        <is>
          <t>https://doi.org/10.1074/jbc.m606713200</t>
        </is>
      </c>
      <c r="N88" s="33" t="n"/>
      <c r="O88" s="47" t="n"/>
      <c r="P88" s="33" t="n"/>
      <c r="Q88" s="33" t="n"/>
      <c r="R88" s="33" t="n"/>
      <c r="S88" s="33" t="n"/>
      <c r="T88" s="33" t="n"/>
      <c r="U88" s="34" t="n"/>
    </row>
    <row r="89" customFormat="1" s="4">
      <c r="A89" s="51" t="inlineStr">
        <is>
          <t>Kact, Kinact</t>
        </is>
      </c>
      <c r="B89" s="55" t="inlineStr">
        <is>
          <t>Gprotein activation and inactivation</t>
        </is>
      </c>
      <c r="C89" s="7" t="inlineStr">
        <is>
          <t>Hein et al. 2006</t>
        </is>
      </c>
      <c r="D89" s="7" t="inlineStr">
        <is>
          <t>Gs</t>
        </is>
      </c>
      <c r="E89" s="7" t="inlineStr">
        <is>
          <t>β1AR</t>
        </is>
      </c>
      <c r="F89" s="7" t="inlineStr">
        <is>
          <t>FRET</t>
        </is>
      </c>
      <c r="G89" s="7" t="inlineStr">
        <is>
          <t>HEK293T cells</t>
        </is>
      </c>
      <c r="H89" s="109" t="inlineStr">
        <is>
          <t>137.30 ± 16.97</t>
        </is>
      </c>
      <c r="I89" s="87" t="inlineStr">
        <is>
          <t>4 ± 0.91</t>
        </is>
      </c>
      <c r="J89" s="160" t="n"/>
      <c r="K89" s="65" t="inlineStr">
        <is>
          <t>Gs activation and deactivation, Gαs-YFP/CFP-γ2 FRET, 100 µM norepinephrine (Fig. 2C–D and text: τ_on 437 ± 54 ms, τ_off 15.0 ± 3.4 s, mean ± S.E.). k = 60/τ (min⁻¹); ± = 60·SE/τ² (delta method)</t>
        </is>
      </c>
      <c r="L89" s="34" t="inlineStr">
        <is>
          <t>SR17</t>
        </is>
      </c>
      <c r="M89" s="35" t="inlineStr">
        <is>
          <t>https://doi.org/10.1074/jbc.m606713200</t>
        </is>
      </c>
      <c r="N89" s="33" t="n"/>
      <c r="O89" s="47" t="n"/>
      <c r="P89" s="33" t="n"/>
      <c r="Q89" s="33" t="n"/>
      <c r="R89" s="33" t="n"/>
      <c r="S89" s="33" t="n"/>
      <c r="T89" s="33" t="n"/>
      <c r="U89" s="34" t="n"/>
    </row>
    <row r="90" customFormat="1" s="4">
      <c r="A90" s="43" t="n"/>
      <c r="B90" s="42" t="n"/>
      <c r="C90" s="110" t="n"/>
      <c r="D90" s="1" t="n"/>
      <c r="E90" s="1" t="n"/>
      <c r="F90" s="5" t="n"/>
      <c r="G90" s="1" t="n"/>
      <c r="H90" s="49" t="n"/>
      <c r="I90" s="163" t="n"/>
      <c r="J90" s="161" t="n"/>
      <c r="K90" s="33" t="n"/>
      <c r="M90" s="35" t="n"/>
      <c r="N90" s="33" t="n"/>
      <c r="O90" s="33" t="n"/>
    </row>
    <row r="91" customFormat="1" s="4">
      <c r="A91" s="51" t="inlineStr">
        <is>
          <t>Kba</t>
        </is>
      </c>
      <c r="B91" s="56" t="inlineStr">
        <is>
          <t>OTR:Beta arrestin binding rate</t>
        </is>
      </c>
      <c r="C91" s="3" t="inlineStr">
        <is>
          <t>Busnelli et al., 2012</t>
        </is>
      </c>
      <c r="D91" s="3" t="inlineStr">
        <is>
          <t>Beta arrestin 1</t>
        </is>
      </c>
      <c r="E91" s="3" t="inlineStr">
        <is>
          <t>OXTR</t>
        </is>
      </c>
      <c r="F91" s="3" t="inlineStr">
        <is>
          <t>BRET</t>
        </is>
      </c>
      <c r="G91" s="3" t="inlineStr">
        <is>
          <t>HEK293 cells</t>
        </is>
      </c>
      <c r="H91" s="48" t="inlineStr">
        <is>
          <t>0.00708 ± 0.00208</t>
        </is>
      </c>
      <c r="I91" s="163" t="n"/>
      <c r="J91" s="162" t="n"/>
      <c r="K91" s="33" t="n"/>
      <c r="L91" t="inlineStr">
        <is>
          <t>SR7</t>
        </is>
      </c>
      <c r="M91" s="35" t="inlineStr">
        <is>
          <t>https://doi.org/10.1074/jbc.m111.277178</t>
        </is>
      </c>
      <c r="N91" s="33" t="n"/>
      <c r="O91" s="33" t="n"/>
    </row>
    <row r="92" customFormat="1" s="4">
      <c r="A92" s="51" t="inlineStr">
        <is>
          <t>Kba</t>
        </is>
      </c>
      <c r="B92" s="56" t="inlineStr">
        <is>
          <t>OTR:Beta arrestin binding rate</t>
        </is>
      </c>
      <c r="C92" s="3" t="inlineStr">
        <is>
          <t>Busnelli et al., 2012</t>
        </is>
      </c>
      <c r="D92" s="3" t="inlineStr">
        <is>
          <t>Beta arrestin 2</t>
        </is>
      </c>
      <c r="E92" s="3" t="inlineStr">
        <is>
          <t>OXTR</t>
        </is>
      </c>
      <c r="F92" s="3" t="inlineStr">
        <is>
          <t>BRET</t>
        </is>
      </c>
      <c r="G92" s="3" t="inlineStr">
        <is>
          <t>HEK293 cells</t>
        </is>
      </c>
      <c r="H92" s="136" t="inlineStr">
        <is>
          <t>0.0392 ± 0.00417</t>
        </is>
      </c>
      <c r="I92" s="138" t="n"/>
      <c r="J92" s="137" t="n"/>
      <c r="K92" s="135" t="inlineStr">
        <is>
          <t>From fig. 6b, the given t1/2 for OT is 18 ± 2.25 sec</t>
        </is>
      </c>
      <c r="L92" t="inlineStr">
        <is>
          <t>SR7</t>
        </is>
      </c>
      <c r="M92" s="35" t="inlineStr">
        <is>
          <t>https://doi.org/10.1074/jbc.m111.277178</t>
        </is>
      </c>
      <c r="N92" s="33" t="n"/>
      <c r="O92" s="33" t="n"/>
    </row>
    <row r="93" customFormat="1" s="4">
      <c r="A93" s="51" t="inlineStr">
        <is>
          <t>Kba</t>
        </is>
      </c>
      <c r="B93" s="56" t="inlineStr">
        <is>
          <t>OTR:Beta arrestin binding rate</t>
        </is>
      </c>
      <c r="C93" s="4" t="inlineStr">
        <is>
          <t>Passoni et al., 2016</t>
        </is>
      </c>
      <c r="D93" s="4" t="inlineStr">
        <is>
          <t>Beta arrestin 2</t>
        </is>
      </c>
      <c r="E93" s="7" t="inlineStr">
        <is>
          <t>OXTR</t>
        </is>
      </c>
      <c r="F93" s="4" t="inlineStr">
        <is>
          <t>BRET</t>
        </is>
      </c>
      <c r="G93" s="7" t="inlineStr">
        <is>
          <t>HEK293 Cells</t>
        </is>
      </c>
      <c r="H93" s="41" t="inlineStr">
        <is>
          <t>0.0133 ± 0.00178</t>
        </is>
      </c>
      <c r="I93" s="61" t="n"/>
      <c r="J93" s="61" t="n"/>
      <c r="K93" s="33" t="n"/>
      <c r="L93" t="inlineStr">
        <is>
          <t>SR40</t>
        </is>
      </c>
      <c r="M93" s="35" t="inlineStr">
        <is>
          <t>https://doi.org/10.1111/jne.12363</t>
        </is>
      </c>
      <c r="N93" s="33" t="n"/>
      <c r="O93" s="33" t="n"/>
    </row>
    <row r="94" customFormat="1" s="4">
      <c r="A94" s="51" t="inlineStr">
        <is>
          <t>Kba</t>
        </is>
      </c>
      <c r="B94" s="56" t="inlineStr">
        <is>
          <t>OTR:Beta arrestin binding rate</t>
        </is>
      </c>
      <c r="C94" s="4" t="inlineStr">
        <is>
          <t>Passoni et al., 2016</t>
        </is>
      </c>
      <c r="D94" s="4" t="inlineStr">
        <is>
          <t>Beta arrestin 1</t>
        </is>
      </c>
      <c r="E94" s="7" t="inlineStr">
        <is>
          <t>OXTR</t>
        </is>
      </c>
      <c r="F94" s="4" t="inlineStr">
        <is>
          <t>BRET</t>
        </is>
      </c>
      <c r="G94" s="7" t="inlineStr">
        <is>
          <t>HEK293 Cells</t>
        </is>
      </c>
      <c r="H94" s="41" t="inlineStr">
        <is>
          <t>0.00582 ± 0.000761</t>
        </is>
      </c>
      <c r="I94" s="61" t="n"/>
      <c r="J94" s="61" t="n"/>
      <c r="K94" s="33" t="n"/>
      <c r="L94" t="inlineStr">
        <is>
          <t>SR40</t>
        </is>
      </c>
      <c r="M94" t="inlineStr">
        <is>
          <t>https://doi.org/10.1111/jne.12363</t>
        </is>
      </c>
    </row>
    <row r="95" customFormat="1" s="4">
      <c r="A95" s="51" t="inlineStr">
        <is>
          <t>Kba</t>
        </is>
      </c>
      <c r="B95" s="56" t="inlineStr">
        <is>
          <t>OTR:Beta arrestin binding rate</t>
        </is>
      </c>
      <c r="C95" s="4" t="inlineStr">
        <is>
          <t>Busnelli et al., 2013</t>
        </is>
      </c>
      <c r="D95" s="4" t="inlineStr">
        <is>
          <t>Beta arrestin 2</t>
        </is>
      </c>
      <c r="E95" s="7" t="inlineStr">
        <is>
          <t>OXTR</t>
        </is>
      </c>
      <c r="F95" s="4" t="inlineStr">
        <is>
          <t>BRET</t>
        </is>
      </c>
      <c r="G95" s="7" t="inlineStr">
        <is>
          <t>HEK293 Cells</t>
        </is>
      </c>
      <c r="H95" s="41" t="inlineStr">
        <is>
          <t>0.00772 ± 0.000197</t>
        </is>
      </c>
      <c r="I95" s="61" t="n"/>
      <c r="J95" s="61" t="n"/>
      <c r="K95" s="33" t="n"/>
      <c r="L95" t="inlineStr">
        <is>
          <t>SR8</t>
        </is>
      </c>
      <c r="M95" t="inlineStr">
        <is>
          <t>https://doi.org/10.1124/jpet.113.202994</t>
        </is>
      </c>
    </row>
    <row r="96" customFormat="1" s="4">
      <c r="A96" s="51" t="inlineStr">
        <is>
          <t>Kba</t>
        </is>
      </c>
      <c r="B96" s="56" t="inlineStr">
        <is>
          <t>OTR:Beta arrestin binding rate</t>
        </is>
      </c>
      <c r="C96" s="4" t="inlineStr">
        <is>
          <t>Busnelli et al., 2013</t>
        </is>
      </c>
      <c r="D96" s="4" t="inlineStr">
        <is>
          <t>Beta arrestin 1</t>
        </is>
      </c>
      <c r="E96" s="7" t="inlineStr">
        <is>
          <t>OXTR</t>
        </is>
      </c>
      <c r="F96" s="4" t="inlineStr">
        <is>
          <t>BRET</t>
        </is>
      </c>
      <c r="G96" s="7" t="inlineStr">
        <is>
          <t>HEK293 Cells</t>
        </is>
      </c>
      <c r="H96" s="8" t="inlineStr">
        <is>
          <t>0.00686 ± 0.000416</t>
        </is>
      </c>
      <c r="I96" s="139" t="n"/>
      <c r="J96" s="139" t="n"/>
      <c r="K96" s="62" t="n"/>
      <c r="L96" t="inlineStr">
        <is>
          <t>SR8</t>
        </is>
      </c>
      <c r="M96" t="inlineStr">
        <is>
          <t>https://doi.org/10.1124/jpet.113.202994</t>
        </is>
      </c>
    </row>
    <row r="97" customFormat="1" s="4">
      <c r="A97" s="51" t="inlineStr">
        <is>
          <t>Kba</t>
        </is>
      </c>
      <c r="B97" s="56" t="inlineStr">
        <is>
          <t>OTR:Beta arrestin binding rate</t>
        </is>
      </c>
      <c r="C97" s="5" t="inlineStr">
        <is>
          <t>Daly et al., 2023</t>
        </is>
      </c>
      <c r="D97" s="5" t="inlineStr">
        <is>
          <t>Beta arrestin 1</t>
        </is>
      </c>
      <c r="E97" s="5" t="inlineStr">
        <is>
          <t>V2R</t>
        </is>
      </c>
      <c r="F97" s="5" t="inlineStr">
        <is>
          <t>BRET</t>
        </is>
      </c>
      <c r="G97" s="7" t="inlineStr">
        <is>
          <t>HEK293 Cells</t>
        </is>
      </c>
      <c r="H97" s="109" t="inlineStr">
        <is>
          <t>0.00367 ± 0.00</t>
        </is>
      </c>
      <c r="I97" s="61" t="n"/>
      <c r="J97" s="139" t="n"/>
      <c r="K97" s="135" t="inlineStr">
        <is>
          <t>From Fig 3B t1/2 is calucated from extracted data</t>
        </is>
      </c>
      <c r="L97" t="inlineStr">
        <is>
          <t>SR10</t>
        </is>
      </c>
      <c r="M97" t="inlineStr">
        <is>
          <t>https://doi.org/10.7554/eLife.87754</t>
        </is>
      </c>
    </row>
    <row r="98" customFormat="1" s="4">
      <c r="A98" s="51" t="inlineStr">
        <is>
          <t>Kba</t>
        </is>
      </c>
      <c r="B98" s="56" t="inlineStr">
        <is>
          <t>OTR:Beta arrestin binding rate</t>
        </is>
      </c>
      <c r="C98" s="5" t="inlineStr">
        <is>
          <t>Daly et al., 2023</t>
        </is>
      </c>
      <c r="D98" s="5" t="inlineStr">
        <is>
          <t>Beta arrestin 2</t>
        </is>
      </c>
      <c r="E98" s="5" t="inlineStr">
        <is>
          <t>V2R</t>
        </is>
      </c>
      <c r="F98" s="5" t="inlineStr">
        <is>
          <t>BRET</t>
        </is>
      </c>
      <c r="G98" s="7" t="inlineStr">
        <is>
          <t>HEK293 Cells</t>
        </is>
      </c>
      <c r="H98" s="109" t="inlineStr">
        <is>
          <t>0.00317 ± 0.00</t>
        </is>
      </c>
      <c r="I98" s="61" t="n"/>
      <c r="J98" s="139" t="n"/>
      <c r="K98" s="135" t="inlineStr">
        <is>
          <t>From Fig 3B t1/2 is calucated from extracted data</t>
        </is>
      </c>
      <c r="L98" t="inlineStr">
        <is>
          <t>SR10</t>
        </is>
      </c>
      <c r="M98" t="inlineStr">
        <is>
          <t>https://doi.org/10.7554/eLife.87754</t>
        </is>
      </c>
    </row>
    <row r="99" customFormat="1" s="4">
      <c r="A99" s="51" t="inlineStr">
        <is>
          <t>Kba</t>
        </is>
      </c>
      <c r="B99" s="56" t="inlineStr">
        <is>
          <t>OTR:Beta arrestin binding rate</t>
        </is>
      </c>
      <c r="C99" s="4" t="inlineStr">
        <is>
          <t>Saulière et al., 2012</t>
        </is>
      </c>
      <c r="D99" s="4" t="inlineStr">
        <is>
          <t>Beta arrestin 2</t>
        </is>
      </c>
      <c r="E99" s="4" t="inlineStr">
        <is>
          <t>AT1R</t>
        </is>
      </c>
      <c r="F99" s="4" t="inlineStr">
        <is>
          <t>BRET</t>
        </is>
      </c>
      <c r="G99" s="7" t="inlineStr">
        <is>
          <t>HEK293 Cells</t>
        </is>
      </c>
      <c r="H99" s="8" t="inlineStr">
        <is>
          <t>0.0193 ± 0.00153</t>
        </is>
      </c>
      <c r="I99" s="140" t="n"/>
      <c r="J99" s="140" t="n"/>
      <c r="L99" t="inlineStr">
        <is>
          <t>SR43</t>
        </is>
      </c>
      <c r="M99" t="inlineStr">
        <is>
          <t>https://doi.org/10.1038/nchembio.961</t>
        </is>
      </c>
    </row>
    <row r="100" customFormat="1" s="3">
      <c r="A100" s="51" t="inlineStr">
        <is>
          <t>Kba</t>
        </is>
      </c>
      <c r="B100" s="56" t="inlineStr">
        <is>
          <t>OTR:Beta arrestin binding rate</t>
        </is>
      </c>
      <c r="C100" s="4" t="inlineStr">
        <is>
          <t>Saulière et al., 2012</t>
        </is>
      </c>
      <c r="D100" s="4" t="inlineStr">
        <is>
          <t>Beta arrestin 2</t>
        </is>
      </c>
      <c r="E100" s="4" t="inlineStr">
        <is>
          <t>AT1R</t>
        </is>
      </c>
      <c r="F100" s="4" t="inlineStr">
        <is>
          <t>BRET</t>
        </is>
      </c>
      <c r="G100" s="7" t="inlineStr">
        <is>
          <t>HEK293 Cells</t>
        </is>
      </c>
      <c r="H100" s="8" t="inlineStr">
        <is>
          <t>0.00417 ± 0.000980</t>
        </is>
      </c>
      <c r="I100" s="140" t="n"/>
      <c r="J100" s="140" t="n"/>
      <c r="L100" t="inlineStr">
        <is>
          <t>SR43</t>
        </is>
      </c>
      <c r="M100" t="inlineStr">
        <is>
          <t>https://doi.org/10.1038/nchembio.961</t>
        </is>
      </c>
    </row>
    <row r="101" customFormat="1" s="4">
      <c r="A101" s="51" t="inlineStr">
        <is>
          <t>Kba</t>
        </is>
      </c>
      <c r="B101" s="56" t="inlineStr">
        <is>
          <t>OTR:Beta arrestin binding rate</t>
        </is>
      </c>
      <c r="C101" s="4" t="inlineStr">
        <is>
          <t>Oakley et al., 2000</t>
        </is>
      </c>
      <c r="D101" s="4" t="inlineStr">
        <is>
          <t>Beta arrestin 1</t>
        </is>
      </c>
      <c r="E101" s="4" t="inlineStr">
        <is>
          <t>AT1R</t>
        </is>
      </c>
      <c r="F101" s="4" t="inlineStr">
        <is>
          <t>BRET</t>
        </is>
      </c>
      <c r="G101" s="7" t="inlineStr">
        <is>
          <t>HEK293 Cells</t>
        </is>
      </c>
      <c r="H101" s="8" t="inlineStr">
        <is>
          <t>0.0276 ± 0.00173</t>
        </is>
      </c>
      <c r="I101" s="140" t="n"/>
      <c r="J101" s="140" t="n"/>
      <c r="L101" t="inlineStr">
        <is>
          <t>SR39</t>
        </is>
      </c>
      <c r="M101" t="inlineStr">
        <is>
          <t>https://doi.org/10.1074/jbc.m910348199</t>
        </is>
      </c>
    </row>
    <row r="102" customFormat="1" s="4">
      <c r="A102" s="51" t="inlineStr">
        <is>
          <t>Kba</t>
        </is>
      </c>
      <c r="B102" s="56" t="inlineStr">
        <is>
          <t>OTR:Beta arrestin binding rate</t>
        </is>
      </c>
      <c r="C102" s="4" t="inlineStr">
        <is>
          <t>Oakley et al., 2000</t>
        </is>
      </c>
      <c r="D102" s="4" t="inlineStr">
        <is>
          <t>Beta arrestin 2</t>
        </is>
      </c>
      <c r="E102" s="4" t="inlineStr">
        <is>
          <t>AT1R</t>
        </is>
      </c>
      <c r="F102" s="4" t="inlineStr">
        <is>
          <t>BRET</t>
        </is>
      </c>
      <c r="G102" s="7" t="inlineStr">
        <is>
          <t>HEK293 Cells</t>
        </is>
      </c>
      <c r="H102" s="8" t="inlineStr">
        <is>
          <t>0.0261 ± 0.00126</t>
        </is>
      </c>
      <c r="I102" s="140" t="n"/>
      <c r="J102" s="140" t="n"/>
      <c r="L102" s="4" t="inlineStr">
        <is>
          <t>SR39</t>
        </is>
      </c>
      <c r="M102" s="4" t="inlineStr">
        <is>
          <t>https://doi.org/10.1074/jbc.m910348199</t>
        </is>
      </c>
      <c r="N102" s="4" t="n"/>
      <c r="O102" s="4" t="n"/>
    </row>
    <row r="103" customFormat="1" s="4">
      <c r="A103" s="51" t="inlineStr">
        <is>
          <t>Kba</t>
        </is>
      </c>
      <c r="B103" s="56" t="inlineStr">
        <is>
          <t>OTR:Beta arrestin binding rate</t>
        </is>
      </c>
      <c r="C103" s="4" t="inlineStr">
        <is>
          <t>Oakley et al., 2000</t>
        </is>
      </c>
      <c r="D103" s="4" t="inlineStr">
        <is>
          <t>Beta arrestin 1</t>
        </is>
      </c>
      <c r="E103" s="4" t="inlineStr">
        <is>
          <t>β2AR</t>
        </is>
      </c>
      <c r="F103" s="4" t="inlineStr">
        <is>
          <t>BRET</t>
        </is>
      </c>
      <c r="G103" s="7" t="inlineStr">
        <is>
          <t>HEK293 Cells</t>
        </is>
      </c>
      <c r="H103" s="8" t="inlineStr">
        <is>
          <t>0.0194 ± 0.0010</t>
        </is>
      </c>
      <c r="L103" t="inlineStr">
        <is>
          <t>SR39</t>
        </is>
      </c>
      <c r="M103" t="inlineStr">
        <is>
          <t>https://doi.org/10.1074/jbc.m910348199</t>
        </is>
      </c>
    </row>
    <row r="104" customFormat="1" s="4">
      <c r="A104" s="51" t="inlineStr">
        <is>
          <t>Kba</t>
        </is>
      </c>
      <c r="B104" s="56" t="inlineStr">
        <is>
          <t>OTR:Beta arrestin binding rate</t>
        </is>
      </c>
      <c r="C104" s="4" t="inlineStr">
        <is>
          <t>Oakley et al., 2000</t>
        </is>
      </c>
      <c r="D104" s="4" t="inlineStr">
        <is>
          <t>Beta arrestin 2</t>
        </is>
      </c>
      <c r="E104" s="4" t="inlineStr">
        <is>
          <t>β2AR</t>
        </is>
      </c>
      <c r="F104" s="4" t="inlineStr">
        <is>
          <t>BRET</t>
        </is>
      </c>
      <c r="G104" s="7" t="inlineStr">
        <is>
          <t>HEK293 Cells</t>
        </is>
      </c>
      <c r="H104" s="8" t="inlineStr">
        <is>
          <t>0.0361 ± 0.00195</t>
        </is>
      </c>
      <c r="L104" t="inlineStr">
        <is>
          <t>SR39</t>
        </is>
      </c>
      <c r="M104" t="inlineStr">
        <is>
          <t>https://doi.org/10.1074/jbc.m910348199</t>
        </is>
      </c>
    </row>
    <row r="105" customFormat="1" s="4">
      <c r="A105" s="51" t="inlineStr">
        <is>
          <t>Kba</t>
        </is>
      </c>
      <c r="B105" s="56" t="inlineStr">
        <is>
          <t>OTR:Beta arrestin binding rate</t>
        </is>
      </c>
      <c r="C105" s="4" t="inlineStr">
        <is>
          <t>Krasel et al., 2005</t>
        </is>
      </c>
      <c r="D105" s="63" t="inlineStr">
        <is>
          <t>Beta arrestin 2</t>
        </is>
      </c>
      <c r="E105" s="4" t="inlineStr">
        <is>
          <t>β2AR</t>
        </is>
      </c>
      <c r="F105" s="4" t="inlineStr">
        <is>
          <t>FRET</t>
        </is>
      </c>
      <c r="G105" s="7" t="inlineStr">
        <is>
          <t>HEK293 Cells</t>
        </is>
      </c>
      <c r="H105" s="8" t="inlineStr">
        <is>
          <t>0.035 ± 0.01</t>
        </is>
      </c>
      <c r="L105" t="inlineStr">
        <is>
          <t>SR23</t>
        </is>
      </c>
      <c r="M105" t="inlineStr">
        <is>
          <t>https://doi.org/10.1074/jbc.m413078200</t>
        </is>
      </c>
    </row>
    <row r="106" customFormat="1" s="4">
      <c r="A106" s="51" t="inlineStr">
        <is>
          <t>Kba</t>
        </is>
      </c>
      <c r="B106" s="56" t="inlineStr">
        <is>
          <t>OTR:Beta arrestin binding rate</t>
        </is>
      </c>
      <c r="C106" s="4" t="inlineStr">
        <is>
          <t>Luttrell et al., 1999</t>
        </is>
      </c>
      <c r="D106" s="63" t="inlineStr">
        <is>
          <t>Beta arrestin 1</t>
        </is>
      </c>
      <c r="E106" s="4" t="inlineStr">
        <is>
          <t>β2AR</t>
        </is>
      </c>
      <c r="F106" s="4" t="inlineStr">
        <is>
          <t>Western Blot</t>
        </is>
      </c>
      <c r="G106" s="7" t="inlineStr">
        <is>
          <t>HEK293 cells</t>
        </is>
      </c>
      <c r="H106" s="8" t="inlineStr">
        <is>
          <t>0.00774 ± 0.00</t>
        </is>
      </c>
      <c r="L106" t="inlineStr">
        <is>
          <t>SR30</t>
        </is>
      </c>
      <c r="M106" t="inlineStr">
        <is>
          <t>https://doi.org/10.1126/science.283.5402.655</t>
        </is>
      </c>
    </row>
    <row r="107" customFormat="1" s="4">
      <c r="A107" s="6" t="n"/>
      <c r="B107" s="6" t="n"/>
      <c r="C107" s="68" t="n"/>
      <c r="E107" s="44" t="n"/>
      <c r="F107" s="1" t="n"/>
      <c r="G107" s="1" t="n"/>
      <c r="H107" s="9" t="n"/>
    </row>
    <row r="108" customFormat="1" s="4">
      <c r="A108" s="51" t="inlineStr">
        <is>
          <t>Kint</t>
        </is>
      </c>
      <c r="B108" s="53" t="inlineStr">
        <is>
          <t>Phosphorylated OTR internalization</t>
        </is>
      </c>
      <c r="C108" s="29" t="inlineStr">
        <is>
          <t>Smith, et al., 2006</t>
        </is>
      </c>
      <c r="E108" s="7" t="inlineStr">
        <is>
          <t>OXTR</t>
        </is>
      </c>
      <c r="F108" s="3" t="inlineStr">
        <is>
          <t>ELISA, HA-OTR</t>
        </is>
      </c>
      <c r="G108" s="3" t="inlineStr">
        <is>
          <t>HEK293 cells</t>
        </is>
      </c>
      <c r="H108" s="11" t="inlineStr">
        <is>
          <t>0.31 ± 0.15</t>
        </is>
      </c>
      <c r="K108" s="141" t="inlineStr">
        <is>
          <t>Calculated from t1/2 = 2.3 given on Page 381 First Para</t>
        </is>
      </c>
      <c r="L108" s="3" t="inlineStr">
        <is>
          <t>SR46</t>
        </is>
      </c>
      <c r="M108" s="3" t="inlineStr">
        <is>
          <t>https://doi.org/10.1210/me.2005-0031</t>
        </is>
      </c>
      <c r="N108" s="3" t="n"/>
      <c r="O108" s="3" t="n"/>
    </row>
    <row r="109" customFormat="1" s="4">
      <c r="A109" s="51" t="inlineStr">
        <is>
          <t>Kint</t>
        </is>
      </c>
      <c r="B109" s="53" t="inlineStr">
        <is>
          <t>Phosphorylated OTR internalization</t>
        </is>
      </c>
      <c r="C109" s="3" t="inlineStr">
        <is>
          <t>Conti, et al., 2009</t>
        </is>
      </c>
      <c r="D109" s="86" t="n"/>
      <c r="E109" s="7" t="inlineStr">
        <is>
          <t>OXTR</t>
        </is>
      </c>
      <c r="F109" s="3" t="inlineStr">
        <is>
          <t>Immunofluorescence imaging</t>
        </is>
      </c>
      <c r="G109" s="3" t="inlineStr">
        <is>
          <t>htert human myometrial cells</t>
        </is>
      </c>
      <c r="H109" s="136" t="inlineStr">
        <is>
          <t>0.046 ± 0.00</t>
        </is>
      </c>
      <c r="I109" s="141" t="n"/>
      <c r="J109" s="141" t="n"/>
      <c r="K109" s="150" t="inlineStr">
        <is>
          <t>Calculated from the t1/2 = 2.36 given on page E537 in OTR Recycling in Myometrial Cells subheading</t>
        </is>
      </c>
      <c r="L109" s="3" t="inlineStr">
        <is>
          <t>SR9</t>
        </is>
      </c>
      <c r="M109" s="3" t="inlineStr">
        <is>
          <t>https://doi.org/10.1152/ajpendo.90590.2008</t>
        </is>
      </c>
      <c r="N109" s="3" t="n"/>
      <c r="O109" s="3" t="n"/>
    </row>
    <row r="110" customFormat="1" s="4">
      <c r="A110" s="51" t="inlineStr">
        <is>
          <t>Kint</t>
        </is>
      </c>
      <c r="B110" s="53" t="inlineStr">
        <is>
          <t>Phosphorylated OTR internalization</t>
        </is>
      </c>
      <c r="C110" s="69" t="inlineStr">
        <is>
          <t>Gulappa et al., 2011</t>
        </is>
      </c>
      <c r="E110" s="77" t="inlineStr">
        <is>
          <t>LHR</t>
        </is>
      </c>
      <c r="F110" s="4" t="inlineStr">
        <is>
          <t>Western Blot</t>
        </is>
      </c>
      <c r="G110" s="4" t="inlineStr">
        <is>
          <t>HEK293 cells tansfected with LHR</t>
        </is>
      </c>
      <c r="H110" s="28" t="inlineStr">
        <is>
          <t>0.0297 ± 0.0013</t>
        </is>
      </c>
      <c r="L110" t="inlineStr">
        <is>
          <t>SR15</t>
        </is>
      </c>
      <c r="M110" t="inlineStr">
        <is>
          <t>https://doi.org/10.1007/s00018-010-0594-1</t>
        </is>
      </c>
    </row>
    <row r="111" customFormat="1" s="4">
      <c r="A111" s="51" t="inlineStr">
        <is>
          <t>Kint</t>
        </is>
      </c>
      <c r="B111" s="53" t="inlineStr">
        <is>
          <t>Phosphorylated OTR internalization</t>
        </is>
      </c>
      <c r="C111" s="70" t="inlineStr">
        <is>
          <t>Berrada et al., 2000</t>
        </is>
      </c>
      <c r="E111" s="98" t="inlineStr">
        <is>
          <t>V1R</t>
        </is>
      </c>
      <c r="F111" s="4" t="inlineStr">
        <is>
          <t>Western Blot</t>
        </is>
      </c>
      <c r="G111" s="4" t="inlineStr">
        <is>
          <t>CHO cells</t>
        </is>
      </c>
      <c r="H111" s="28" t="inlineStr">
        <is>
          <t>0.154 ± 0.00</t>
        </is>
      </c>
      <c r="L111" t="inlineStr">
        <is>
          <t>SR2</t>
        </is>
      </c>
      <c r="M111" t="inlineStr">
        <is>
          <t>https://doi.org/10.1074/jbc.m002288200</t>
        </is>
      </c>
    </row>
    <row r="112" customFormat="1" s="4">
      <c r="A112" s="51" t="inlineStr">
        <is>
          <t>Kint</t>
        </is>
      </c>
      <c r="B112" s="53" t="inlineStr">
        <is>
          <t>Phosphorylated OTR internalization</t>
        </is>
      </c>
      <c r="C112" s="70" t="inlineStr">
        <is>
          <t>Pfeiffer et al., 1998</t>
        </is>
      </c>
      <c r="D112" s="84" t="n"/>
      <c r="E112" s="99" t="inlineStr">
        <is>
          <t>V2R</t>
        </is>
      </c>
      <c r="F112" s="4" t="inlineStr">
        <is>
          <t>Immunofluorescence microscopy</t>
        </is>
      </c>
      <c r="G112" s="4" t="inlineStr">
        <is>
          <t>HEK293 Cells</t>
        </is>
      </c>
      <c r="H112" s="28" t="inlineStr">
        <is>
          <t>0.1095 ± 0.0105</t>
        </is>
      </c>
      <c r="K112" s="141" t="inlineStr">
        <is>
          <t>Abstract and figure 4</t>
        </is>
      </c>
      <c r="L112" t="inlineStr">
        <is>
          <t>SR42</t>
        </is>
      </c>
      <c r="M112" t="inlineStr">
        <is>
          <t>https://doi.org/10.1006/excr.1998.4159</t>
        </is>
      </c>
    </row>
    <row r="113" customFormat="1" s="4">
      <c r="A113" s="51" t="inlineStr">
        <is>
          <t>Kint</t>
        </is>
      </c>
      <c r="B113" s="53" t="inlineStr">
        <is>
          <t>Phosphorylated OTR internalization</t>
        </is>
      </c>
      <c r="C113" s="70" t="inlineStr">
        <is>
          <t>Thibonnier et al., 2001</t>
        </is>
      </c>
      <c r="D113" s="84" t="n"/>
      <c r="E113" s="99" t="inlineStr">
        <is>
          <t>V1R</t>
        </is>
      </c>
      <c r="F113" s="4" t="inlineStr">
        <is>
          <t>Radioligand binding assays</t>
        </is>
      </c>
      <c r="G113" s="4" t="inlineStr">
        <is>
          <t>CHO cells</t>
        </is>
      </c>
      <c r="H113" s="28" t="inlineStr">
        <is>
          <t>0.14 ± 0.00</t>
        </is>
      </c>
      <c r="L113" t="inlineStr">
        <is>
          <t>SR49</t>
        </is>
      </c>
      <c r="M113" t="inlineStr">
        <is>
          <t>https://doi.org/10.1152/ajpendo.2001.281.1.E81</t>
        </is>
      </c>
    </row>
    <row r="114" customFormat="1" s="4">
      <c r="A114" s="51" t="inlineStr">
        <is>
          <t>Kint</t>
        </is>
      </c>
      <c r="B114" s="53" t="inlineStr">
        <is>
          <t>Phosphorylated OTR internalization</t>
        </is>
      </c>
      <c r="C114" s="70" t="inlineStr">
        <is>
          <t>Thibonnier et al., 2001</t>
        </is>
      </c>
      <c r="D114" s="84" t="n"/>
      <c r="E114" s="99" t="inlineStr">
        <is>
          <t>V2R</t>
        </is>
      </c>
      <c r="F114" s="4" t="inlineStr">
        <is>
          <t>Radioligand binding assays</t>
        </is>
      </c>
      <c r="G114" s="4" t="inlineStr">
        <is>
          <t>CHO cells</t>
        </is>
      </c>
      <c r="H114" s="28" t="inlineStr">
        <is>
          <t>0.053 ± 0.00</t>
        </is>
      </c>
      <c r="L114" t="inlineStr">
        <is>
          <t>SR49</t>
        </is>
      </c>
      <c r="M114" t="inlineStr">
        <is>
          <t>https://doi.org/10.1152/ajpendo.2001.281.1.E81</t>
        </is>
      </c>
    </row>
    <row r="115" customFormat="1" s="4">
      <c r="A115" s="51" t="inlineStr">
        <is>
          <t>Kint</t>
        </is>
      </c>
      <c r="B115" s="53" t="inlineStr">
        <is>
          <t>Phosphorylated OTR internalization</t>
        </is>
      </c>
      <c r="C115" s="147" t="inlineStr">
        <is>
          <t>Levoye et al., 2015</t>
        </is>
      </c>
      <c r="D115" s="148" t="n"/>
      <c r="E115" s="147" t="inlineStr">
        <is>
          <t>CXCR7</t>
        </is>
      </c>
      <c r="F115" s="110" t="inlineStr">
        <is>
          <t>DERET</t>
        </is>
      </c>
      <c r="G115" s="149" t="inlineStr">
        <is>
          <t>HEK-293 cells</t>
        </is>
      </c>
      <c r="H115" s="28" t="inlineStr">
        <is>
          <t>0.046742128 ± 0.01927189</t>
        </is>
      </c>
      <c r="I115" s="145" t="n"/>
      <c r="J115" s="141" t="n"/>
      <c r="L115" t="inlineStr">
        <is>
          <t>SR26</t>
        </is>
      </c>
      <c r="M115" t="inlineStr">
        <is>
          <t>https://doi.org/10.3389/fendo.2015.00167</t>
        </is>
      </c>
    </row>
    <row r="116" customFormat="1" s="4">
      <c r="A116" s="51" t="inlineStr">
        <is>
          <t>Kint</t>
        </is>
      </c>
      <c r="B116" s="53" t="inlineStr">
        <is>
          <t>Phosphorylated OTR internalization</t>
        </is>
      </c>
      <c r="C116" s="142" t="inlineStr">
        <is>
          <t>Levoye et al., 2015</t>
        </is>
      </c>
      <c r="D116" s="143" t="n"/>
      <c r="E116" s="142" t="inlineStr">
        <is>
          <t>CXCR4</t>
        </is>
      </c>
      <c r="F116" s="144" t="inlineStr">
        <is>
          <t>DERET</t>
        </is>
      </c>
      <c r="G116" s="146" t="inlineStr">
        <is>
          <t>HEK-293 cells</t>
        </is>
      </c>
      <c r="H116" s="28" t="inlineStr">
        <is>
          <t>0.03299299 ± 0.01059972</t>
        </is>
      </c>
      <c r="I116" s="145" t="n"/>
      <c r="J116" s="141" t="n"/>
      <c r="L116" t="inlineStr">
        <is>
          <t>SR26</t>
        </is>
      </c>
      <c r="M116" t="inlineStr">
        <is>
          <t>https://doi.org/10.3389/fendo.2015.00167</t>
        </is>
      </c>
    </row>
    <row r="117" customFormat="1" s="4">
      <c r="A117" s="51" t="inlineStr">
        <is>
          <t>Kint</t>
        </is>
      </c>
      <c r="B117" s="53" t="inlineStr">
        <is>
          <t>Phosphorylated OTR internalization</t>
        </is>
      </c>
      <c r="C117" s="142" t="inlineStr">
        <is>
          <t>Levoye et al., 2015</t>
        </is>
      </c>
      <c r="D117" s="143" t="n"/>
      <c r="E117" s="142" t="inlineStr">
        <is>
          <t>V1AR</t>
        </is>
      </c>
      <c r="F117" s="144" t="inlineStr">
        <is>
          <t>DERET</t>
        </is>
      </c>
      <c r="G117" s="146" t="inlineStr">
        <is>
          <t>HEK-293 cells</t>
        </is>
      </c>
      <c r="H117" s="28" t="inlineStr">
        <is>
          <t>0.064853081 ± 0.00</t>
        </is>
      </c>
      <c r="I117" s="145" t="n"/>
      <c r="J117" s="141" t="n"/>
      <c r="L117" t="inlineStr">
        <is>
          <t>SR26</t>
        </is>
      </c>
      <c r="M117" t="inlineStr">
        <is>
          <t>https://doi.org/10.3389/fendo.2015.00167</t>
        </is>
      </c>
    </row>
    <row r="118" ht="15" customFormat="1" customHeight="1" s="4">
      <c r="A118" s="51" t="inlineStr">
        <is>
          <t>Kint</t>
        </is>
      </c>
      <c r="B118" s="53" t="inlineStr">
        <is>
          <t>Phosphorylated OTR internalization</t>
        </is>
      </c>
      <c r="C118" s="72" t="inlineStr">
        <is>
          <t>Bulseco et al., 1996</t>
        </is>
      </c>
      <c r="E118" s="78" t="inlineStr">
        <is>
          <t>M2R</t>
        </is>
      </c>
      <c r="F118" s="34" t="inlineStr">
        <is>
          <t>Radiolabelling</t>
        </is>
      </c>
      <c r="G118" s="35" t="inlineStr">
        <is>
          <t>CHO cells</t>
        </is>
      </c>
      <c r="H118" s="28" t="inlineStr">
        <is>
          <t>0.021275 ± 0.009725</t>
        </is>
      </c>
      <c r="I118" s="65" t="n"/>
      <c r="J118" s="65" t="n"/>
      <c r="K118" t="inlineStr">
        <is>
          <t>Protease-activated receptor-1 (PAR1), a G protein–coupled receptor</t>
        </is>
      </c>
      <c r="L118" t="inlineStr">
        <is>
          <t>SR5</t>
        </is>
      </c>
      <c r="M118" t="inlineStr">
        <is>
          <t>https://doi.org/10.1016/s0026-895x(25)08679-1</t>
        </is>
      </c>
    </row>
    <row r="119" customFormat="1" s="4">
      <c r="A119" s="51" t="inlineStr">
        <is>
          <t>Kint</t>
        </is>
      </c>
      <c r="B119" s="53" t="inlineStr">
        <is>
          <t>Phosphorylated OTR internalization</t>
        </is>
      </c>
      <c r="C119" s="72" t="inlineStr">
        <is>
          <t>Mandić et al., 2014</t>
        </is>
      </c>
      <c r="E119" s="4" t="inlineStr">
        <is>
          <t>β2AR</t>
        </is>
      </c>
      <c r="F119" s="34" t="inlineStr">
        <is>
          <t>ELISA</t>
        </is>
      </c>
      <c r="G119" s="35" t="inlineStr">
        <is>
          <t>HEK293 Cells</t>
        </is>
      </c>
      <c r="H119" s="28" t="inlineStr">
        <is>
          <t>0.08 ± 0.01</t>
        </is>
      </c>
      <c r="I119" s="65" t="n"/>
      <c r="J119" s="65" t="n"/>
      <c r="K119" t="inlineStr">
        <is>
          <t>t1/2 = 8.6 ± 1.3 min (β2AR alone, isoproterenol; Results); k = ln2/t1/2</t>
        </is>
      </c>
      <c r="L119" t="inlineStr">
        <is>
          <t>SR31</t>
        </is>
      </c>
      <c r="M119" t="inlineStr">
        <is>
          <t>https://doi.org/10.1371/journal.pone.0112664</t>
        </is>
      </c>
    </row>
    <row r="120" customFormat="1" s="4">
      <c r="A120" s="6" t="n"/>
      <c r="B120" s="43" t="n"/>
      <c r="C120" s="73" t="n"/>
      <c r="E120" s="79" t="n"/>
      <c r="F120" s="44" t="n"/>
      <c r="G120" s="36" t="n"/>
      <c r="H120" s="39" t="n"/>
    </row>
    <row r="121" customFormat="1" s="4">
      <c r="A121" s="51" t="inlineStr">
        <is>
          <t>Kcons_int</t>
        </is>
      </c>
      <c r="B121" s="53" t="inlineStr">
        <is>
          <t>Constitutive OTR internalization</t>
        </is>
      </c>
      <c r="C121" s="74" t="inlineStr">
        <is>
          <t>Marco Scarselli, et al., 2009</t>
        </is>
      </c>
      <c r="E121" s="80" t="inlineStr">
        <is>
          <t>M3R</t>
        </is>
      </c>
      <c r="F121" s="30" t="inlineStr">
        <is>
          <t>Immunofluorescence imaging, HA-OTR</t>
        </is>
      </c>
      <c r="G121" s="3" t="inlineStr">
        <is>
          <t>HeLa Cells</t>
        </is>
      </c>
      <c r="H121" s="37" t="inlineStr">
        <is>
          <t>0.0105 ± 0.0025</t>
        </is>
      </c>
      <c r="L121" t="inlineStr">
        <is>
          <t>SR44</t>
        </is>
      </c>
      <c r="M121" t="inlineStr">
        <is>
          <t>https://doi.org/10.1074/jbc.m806819200</t>
        </is>
      </c>
    </row>
    <row r="122" customFormat="1" s="4">
      <c r="A122" s="51" t="inlineStr">
        <is>
          <t>Kcons_int</t>
        </is>
      </c>
      <c r="B122" s="53" t="inlineStr">
        <is>
          <t>Constitutive OTR internalization</t>
        </is>
      </c>
      <c r="C122" s="72" t="inlineStr">
        <is>
          <t>Levoye et al., 2015</t>
        </is>
      </c>
      <c r="E122" s="78" t="inlineStr">
        <is>
          <t>CXCR7</t>
        </is>
      </c>
      <c r="F122" s="34" t="inlineStr">
        <is>
          <t>DERET</t>
        </is>
      </c>
      <c r="G122" s="4" t="inlineStr">
        <is>
          <t>CHO or HEK-293 cells</t>
        </is>
      </c>
      <c r="H122" s="8" t="inlineStr">
        <is>
          <t>0.04621 ± 0.00</t>
        </is>
      </c>
      <c r="L122" t="inlineStr">
        <is>
          <t>SR26</t>
        </is>
      </c>
      <c r="M122" t="inlineStr">
        <is>
          <t>https://doi.org/10.3389/fendo.2015.00167</t>
        </is>
      </c>
    </row>
    <row r="123" ht="15" customFormat="1" customHeight="1" s="4">
      <c r="A123" s="51" t="inlineStr">
        <is>
          <t>Kcons_int</t>
        </is>
      </c>
      <c r="B123" s="53" t="inlineStr">
        <is>
          <t>Constitutive OTR internalization</t>
        </is>
      </c>
      <c r="C123" s="75" t="inlineStr">
        <is>
          <t>Bulseco et al., 1996</t>
        </is>
      </c>
      <c r="E123" s="81" t="inlineStr">
        <is>
          <t>M2R</t>
        </is>
      </c>
      <c r="F123" s="4" t="inlineStr">
        <is>
          <t>Radiolabelling</t>
        </is>
      </c>
      <c r="G123" s="4" t="inlineStr">
        <is>
          <t>CHO cells</t>
        </is>
      </c>
      <c r="H123" s="8" t="inlineStr">
        <is>
          <t>0.00525 ± 0.00305</t>
        </is>
      </c>
      <c r="L123" t="inlineStr">
        <is>
          <t>SR5</t>
        </is>
      </c>
      <c r="M123" t="inlineStr">
        <is>
          <t>https://doi.org/10.1016/s0026-895x(25)08679-1</t>
        </is>
      </c>
    </row>
    <row r="124" customFormat="1" s="4">
      <c r="A124" s="51" t="inlineStr">
        <is>
          <t>Kcons_int</t>
        </is>
      </c>
      <c r="B124" s="53" t="inlineStr">
        <is>
          <t>Constitutive OTR internalization</t>
        </is>
      </c>
      <c r="C124" s="35" t="inlineStr">
        <is>
          <t>Wolfe et al., 2007</t>
        </is>
      </c>
      <c r="E124" s="34" t="inlineStr">
        <is>
          <t>PAR1</t>
        </is>
      </c>
      <c r="F124" s="4" t="inlineStr">
        <is>
          <t>ELISA</t>
        </is>
      </c>
      <c r="G124" s="4" t="inlineStr">
        <is>
          <t>HeLa Cells</t>
        </is>
      </c>
      <c r="H124" s="40" t="inlineStr">
        <is>
          <t>0.0462 ± 0.00</t>
        </is>
      </c>
      <c r="L124" t="inlineStr">
        <is>
          <t>SR55</t>
        </is>
      </c>
      <c r="M124" t="inlineStr">
        <is>
          <t>https://doi.org/10.1083/jcb.200610154</t>
        </is>
      </c>
    </row>
    <row r="125">
      <c r="A125" s="51" t="inlineStr">
        <is>
          <t>Kcons_int</t>
        </is>
      </c>
      <c r="B125" s="53" t="inlineStr">
        <is>
          <t>Constitutive OTR internalization</t>
        </is>
      </c>
      <c r="C125" s="35" t="inlineStr">
        <is>
          <t>Liebick et al., 2016</t>
        </is>
      </c>
      <c r="E125" s="34" t="inlineStr">
        <is>
          <t>CXCR4</t>
        </is>
      </c>
      <c r="F125" s="4" t="inlineStr">
        <is>
          <t>Flow cytometry</t>
        </is>
      </c>
      <c r="G125" s="4" t="inlineStr">
        <is>
          <t>Rat basophilic leukemia cells clone 2H3 (RBL 2H3)</t>
        </is>
      </c>
      <c r="H125" s="8" t="inlineStr">
        <is>
          <t>0.00275 ± 0.00025</t>
        </is>
      </c>
      <c r="L125" t="inlineStr">
        <is>
          <t>SR29</t>
        </is>
      </c>
      <c r="M125" t="inlineStr">
        <is>
          <t>https://doi.org/10.1371/journal.pone.0157502</t>
        </is>
      </c>
    </row>
    <row r="126">
      <c r="A126" s="51" t="inlineStr">
        <is>
          <t>Kcons_int</t>
        </is>
      </c>
      <c r="B126" s="53" t="inlineStr">
        <is>
          <t>Constitutive OTR internalization</t>
        </is>
      </c>
      <c r="C126" s="5" t="inlineStr">
        <is>
          <t>Liebick et al., 2016</t>
        </is>
      </c>
      <c r="D126" s="86" t="n"/>
      <c r="E126" s="5" t="inlineStr">
        <is>
          <t>CXCR5</t>
        </is>
      </c>
      <c r="F126" s="5" t="inlineStr">
        <is>
          <t>Flow cytometry</t>
        </is>
      </c>
      <c r="G126" s="5" t="inlineStr">
        <is>
          <t>Rat basophilic leukemia cells clone 2H3 (RBL 2H3)</t>
        </is>
      </c>
      <c r="H126" s="87" t="inlineStr">
        <is>
          <t>0.00315 ± 0.00015</t>
        </is>
      </c>
      <c r="L126" t="inlineStr">
        <is>
          <t>SR29</t>
        </is>
      </c>
      <c r="M126" t="inlineStr">
        <is>
          <t>https://doi.org/10.1371/journal.pone.0157502</t>
        </is>
      </c>
    </row>
    <row r="127">
      <c r="A127" s="6" t="n"/>
      <c r="B127" s="6" t="n"/>
      <c r="C127" s="68" t="n"/>
      <c r="D127" s="4" t="n"/>
      <c r="E127" s="44" t="n"/>
      <c r="F127" s="1" t="n"/>
      <c r="G127" s="1" t="n"/>
      <c r="H127" s="9" t="n"/>
      <c r="L127" s="4" t="n"/>
      <c r="M127" s="4" t="n"/>
      <c r="N127" s="4" t="n"/>
      <c r="O127" s="4" t="n"/>
    </row>
    <row r="128">
      <c r="A128" s="51" t="inlineStr">
        <is>
          <t>Krec</t>
        </is>
      </c>
      <c r="B128" s="53" t="inlineStr">
        <is>
          <t>OXTR recycling rate (back to surface)</t>
        </is>
      </c>
      <c r="C128" s="29" t="inlineStr">
        <is>
          <t>Conti, et al., 2009</t>
        </is>
      </c>
      <c r="D128" s="4" t="n"/>
      <c r="E128" s="30" t="inlineStr">
        <is>
          <t>OXTR</t>
        </is>
      </c>
      <c r="F128" s="3" t="inlineStr">
        <is>
          <t>Immunofluorescence imaging</t>
        </is>
      </c>
      <c r="G128" s="3" t="inlineStr">
        <is>
          <t>hTERT human myometrial cells</t>
        </is>
      </c>
      <c r="H128" s="11" t="inlineStr">
        <is>
          <t>0.0575 ± 0.0115</t>
        </is>
      </c>
      <c r="L128" s="4" t="inlineStr">
        <is>
          <t>SR9</t>
        </is>
      </c>
      <c r="M128" s="4" t="inlineStr">
        <is>
          <t>https://doi.org/10.1152/ajpendo.90590.2008</t>
        </is>
      </c>
      <c r="N128" s="4" t="n"/>
      <c r="O128" s="4" t="n"/>
    </row>
    <row r="129">
      <c r="A129" s="51" t="inlineStr">
        <is>
          <t>Krec</t>
        </is>
      </c>
      <c r="B129" s="53" t="inlineStr">
        <is>
          <t>OXTR recycling rate (back to surface)</t>
        </is>
      </c>
      <c r="C129" s="35" t="inlineStr">
        <is>
          <t>Nisar, et al., 2010</t>
        </is>
      </c>
      <c r="D129" s="4" t="n"/>
      <c r="E129" s="34" t="inlineStr">
        <is>
          <t>P2Y12R</t>
        </is>
      </c>
      <c r="F129" s="4" t="inlineStr">
        <is>
          <t>ELISA</t>
        </is>
      </c>
      <c r="G129" s="4" t="inlineStr">
        <is>
          <t>human astrocytoma cells</t>
        </is>
      </c>
      <c r="H129" s="8" t="inlineStr">
        <is>
          <t>0.031 ± 0.00</t>
        </is>
      </c>
      <c r="L129" s="4" t="inlineStr">
        <is>
          <t>SR38</t>
        </is>
      </c>
      <c r="M129" s="4" t="inlineStr">
        <is>
          <t>https://doi.org/10.1111/j.1600-0854.2010.01035.x</t>
        </is>
      </c>
      <c r="N129" s="4" t="n"/>
      <c r="O129" s="4" t="n"/>
    </row>
    <row r="130" ht="15" customHeight="1">
      <c r="A130" s="51" t="inlineStr">
        <is>
          <t>Krec</t>
        </is>
      </c>
      <c r="B130" s="53" t="inlineStr">
        <is>
          <t>OXTR recycling rate (back to surface)</t>
        </is>
      </c>
      <c r="C130" s="35" t="inlineStr">
        <is>
          <t>Nisar, et al., 2010</t>
        </is>
      </c>
      <c r="D130" s="4" t="n"/>
      <c r="E130" s="34" t="inlineStr">
        <is>
          <t>P2Y1R</t>
        </is>
      </c>
      <c r="F130" s="4" t="inlineStr">
        <is>
          <t>ELISA</t>
        </is>
      </c>
      <c r="G130" s="4" t="inlineStr">
        <is>
          <t>human astrocytoma cells</t>
        </is>
      </c>
      <c r="H130" s="8" t="inlineStr">
        <is>
          <t>0.0031 ± 0.00</t>
        </is>
      </c>
      <c r="L130" s="4" t="inlineStr">
        <is>
          <t>SR38</t>
        </is>
      </c>
      <c r="M130" s="4" t="inlineStr">
        <is>
          <t>https://doi.org/10.1111/j.1600-0854.2010.01035.x</t>
        </is>
      </c>
      <c r="N130" s="4" t="n"/>
      <c r="O130" s="4" t="n"/>
    </row>
    <row r="131">
      <c r="A131" s="51" t="inlineStr">
        <is>
          <t>Krec</t>
        </is>
      </c>
      <c r="B131" s="53" t="inlineStr">
        <is>
          <t>OXTR recycling rate (back to surface)</t>
        </is>
      </c>
      <c r="C131" s="35" t="inlineStr">
        <is>
          <t>Gulappa et al., 2011</t>
        </is>
      </c>
      <c r="D131" s="4" t="n"/>
      <c r="E131" s="82" t="inlineStr">
        <is>
          <t>LHR</t>
        </is>
      </c>
      <c r="F131" s="4" t="inlineStr">
        <is>
          <t>Western Blot</t>
        </is>
      </c>
      <c r="G131" s="4" t="inlineStr">
        <is>
          <t>HEK293 Cells</t>
        </is>
      </c>
      <c r="H131" s="8" t="inlineStr">
        <is>
          <t>0.0033 ± 0.0003</t>
        </is>
      </c>
      <c r="L131" s="4" t="inlineStr">
        <is>
          <t>SR15</t>
        </is>
      </c>
      <c r="M131" s="4" t="inlineStr">
        <is>
          <t>https://doi.org/10.1007/s00018-010-0594-1</t>
        </is>
      </c>
      <c r="N131" s="4" t="n"/>
      <c r="O131" s="4" t="n"/>
    </row>
    <row r="132">
      <c r="A132" s="51" t="inlineStr">
        <is>
          <t>Krec</t>
        </is>
      </c>
      <c r="B132" s="53" t="inlineStr">
        <is>
          <t>OXTR recycling rate (back to surface)</t>
        </is>
      </c>
      <c r="C132" s="35" t="inlineStr">
        <is>
          <t>Ghosh, et al., 1994</t>
        </is>
      </c>
      <c r="D132" s="4" t="n"/>
      <c r="E132" s="34" t="inlineStr">
        <is>
          <t>TR</t>
        </is>
      </c>
      <c r="F132" s="4" t="inlineStr">
        <is>
          <t>Radiolabelling</t>
        </is>
      </c>
      <c r="G132" s="4" t="inlineStr">
        <is>
          <t>CHO cells</t>
        </is>
      </c>
      <c r="H132" s="8" t="inlineStr">
        <is>
          <t>0.09902 ± 0.00</t>
        </is>
      </c>
      <c r="L132" s="4" t="inlineStr">
        <is>
          <t>SR14</t>
        </is>
      </c>
      <c r="M132" s="4" t="inlineStr">
        <is>
          <t>https://doi.org/10.1242/jcs.107.8.2177</t>
        </is>
      </c>
      <c r="N132" s="4" t="n"/>
      <c r="O132" s="4" t="n"/>
    </row>
    <row r="133">
      <c r="A133" s="51" t="inlineStr">
        <is>
          <t>Krec</t>
        </is>
      </c>
      <c r="B133" s="53" t="inlineStr">
        <is>
          <t>OXTR recycling rate (back to surface)</t>
        </is>
      </c>
      <c r="C133" s="35" t="inlineStr">
        <is>
          <t>Levoye et al., 2015</t>
        </is>
      </c>
      <c r="D133" s="4" t="n"/>
      <c r="E133" s="34" t="inlineStr">
        <is>
          <t>CXCR7</t>
        </is>
      </c>
      <c r="F133" s="4" t="inlineStr">
        <is>
          <t>Fluorescence Microscopy</t>
        </is>
      </c>
      <c r="G133" s="4" t="inlineStr">
        <is>
          <t>HEK293 Cells</t>
        </is>
      </c>
      <c r="H133" s="8" t="inlineStr">
        <is>
          <t>0.0606 ± 0.00</t>
        </is>
      </c>
      <c r="L133" t="inlineStr">
        <is>
          <t>SR26</t>
        </is>
      </c>
      <c r="M133" t="inlineStr">
        <is>
          <t>https://doi.org/10.3389/fendo.2015.00167</t>
        </is>
      </c>
    </row>
    <row r="134">
      <c r="A134" s="51" t="inlineStr">
        <is>
          <t>Krec</t>
        </is>
      </c>
      <c r="B134" s="53" t="inlineStr">
        <is>
          <t>OXTR recycling rate (back to surface)</t>
        </is>
      </c>
      <c r="C134" s="69" t="inlineStr">
        <is>
          <t>Bulseco, Thesis 1996</t>
        </is>
      </c>
      <c r="D134" s="4" t="n"/>
      <c r="E134" s="83" t="inlineStr">
        <is>
          <t>M2R</t>
        </is>
      </c>
      <c r="F134" s="4" t="inlineStr">
        <is>
          <t>Radiolabelling</t>
        </is>
      </c>
      <c r="G134" s="4" t="inlineStr">
        <is>
          <t>CHO cells</t>
        </is>
      </c>
      <c r="H134" s="8" t="inlineStr">
        <is>
          <t>0.013 ± 0.002</t>
        </is>
      </c>
      <c r="L134" t="inlineStr">
        <is>
          <t>SR5</t>
        </is>
      </c>
      <c r="M134" t="inlineStr">
        <is>
          <t>https://doi.org/10.1016/s0026-895x(25)08679-1</t>
        </is>
      </c>
    </row>
    <row r="135">
      <c r="A135" s="51" t="inlineStr">
        <is>
          <t>Krec</t>
        </is>
      </c>
      <c r="B135" s="53" t="inlineStr">
        <is>
          <t>OXTR recycling rate (back to surface)</t>
        </is>
      </c>
      <c r="C135" s="70" t="inlineStr">
        <is>
          <t>Thibonnier et al., 2001</t>
        </is>
      </c>
      <c r="D135" s="84" t="n"/>
      <c r="E135" s="78" t="inlineStr">
        <is>
          <t>V1R</t>
        </is>
      </c>
      <c r="F135" s="65" t="inlineStr">
        <is>
          <t>Radioligand binding assays</t>
        </is>
      </c>
      <c r="G135" s="64" t="inlineStr">
        <is>
          <t>CHO cells</t>
        </is>
      </c>
      <c r="H135" s="28" t="inlineStr">
        <is>
          <t>0.036 ± 0.00</t>
        </is>
      </c>
      <c r="L135" t="inlineStr">
        <is>
          <t>SR49</t>
        </is>
      </c>
      <c r="M135" t="inlineStr">
        <is>
          <t>https://doi.org/10.1152/ajpendo.2001.281.1.E81</t>
        </is>
      </c>
    </row>
    <row r="136" ht="60" customHeight="1">
      <c r="A136" s="51" t="inlineStr">
        <is>
          <t>Krec</t>
        </is>
      </c>
      <c r="B136" s="53" t="inlineStr">
        <is>
          <t>OXTR recycling rate (back to surface)</t>
        </is>
      </c>
      <c r="C136" s="35" t="inlineStr">
        <is>
          <t>Wiley, et al., 1991</t>
        </is>
      </c>
      <c r="D136" s="4" t="n"/>
      <c r="E136" s="34" t="inlineStr">
        <is>
          <t>TR</t>
        </is>
      </c>
      <c r="F136" s="4" t="inlineStr">
        <is>
          <t>Radiolabelling</t>
        </is>
      </c>
      <c r="G136" s="4" t="inlineStr">
        <is>
          <t>B82 fribroblasts</t>
        </is>
      </c>
      <c r="H136" s="8" t="inlineStr">
        <is>
          <t>0.13 ± 0.02</t>
        </is>
      </c>
      <c r="L136" t="inlineStr">
        <is>
          <t>SR54</t>
        </is>
      </c>
      <c r="M136" t="inlineStr">
        <is>
          <t>https://doi.org/10.1016/s0021-9258(18)99131-3</t>
        </is>
      </c>
    </row>
    <row r="137" ht="60" customHeight="1">
      <c r="A137" s="1" t="n"/>
      <c r="B137" s="1" t="n"/>
      <c r="C137" s="68" t="n"/>
      <c r="D137" s="4" t="n"/>
      <c r="E137" s="44" t="n"/>
      <c r="F137" s="1" t="n"/>
      <c r="G137" s="1" t="n"/>
      <c r="H137" s="9" t="n"/>
    </row>
    <row r="138" ht="60" customHeight="1">
      <c r="A138" s="57" t="inlineStr">
        <is>
          <t>Kexpt</t>
        </is>
      </c>
      <c r="B138" s="66" t="inlineStr">
        <is>
          <t>Export rate constant of receptor from Golgi/ER/Nucleus Complex to plasma membrane</t>
        </is>
      </c>
      <c r="C138" s="29" t="inlineStr">
        <is>
          <t>Zhang, et al., 2016</t>
        </is>
      </c>
      <c r="D138" s="4" t="n"/>
      <c r="E138" s="30" t="inlineStr">
        <is>
          <t>α2AR</t>
        </is>
      </c>
      <c r="F138" s="3" t="inlineStr">
        <is>
          <t>Ligand binding</t>
        </is>
      </c>
      <c r="G138" s="3" t="inlineStr">
        <is>
          <t>HEK293 Cells</t>
        </is>
      </c>
      <c r="H138" s="11" t="inlineStr">
        <is>
          <t>0.0011 ± 0.00</t>
        </is>
      </c>
      <c r="L138" t="inlineStr">
        <is>
          <t>SR57</t>
        </is>
      </c>
      <c r="M138" t="inlineStr">
        <is>
          <t>https://doi.org/10.1128/mcb.00009-16</t>
        </is>
      </c>
    </row>
    <row r="139" ht="60" customHeight="1">
      <c r="A139" s="57" t="inlineStr">
        <is>
          <t>Kexpt</t>
        </is>
      </c>
      <c r="B139" s="66" t="inlineStr">
        <is>
          <t>Export rate constant of receptor from Golgi/ER/Nucleus Complex to plasma membrane</t>
        </is>
      </c>
      <c r="C139" s="35" t="inlineStr">
        <is>
          <t>Patterson et al., 2008</t>
        </is>
      </c>
      <c r="D139" s="4" t="n"/>
      <c r="E139" s="34" t="inlineStr">
        <is>
          <t>VSVG-GFP</t>
        </is>
      </c>
      <c r="F139" s="4" t="inlineStr">
        <is>
          <t>Fluorescence Microscopy</t>
        </is>
      </c>
      <c r="G139" s="4" t="inlineStr">
        <is>
          <t>COS7 cells</t>
        </is>
      </c>
      <c r="H139" s="8" t="inlineStr">
        <is>
          <t>0.0545 ± 0.0155</t>
        </is>
      </c>
      <c r="L139" t="inlineStr">
        <is>
          <t>SR41</t>
        </is>
      </c>
      <c r="M139" t="inlineStr">
        <is>
          <t>https://doi.org/10.1016/j.cell.2008.04.044</t>
        </is>
      </c>
    </row>
    <row r="140">
      <c r="A140" s="57" t="inlineStr">
        <is>
          <t>Kexpt</t>
        </is>
      </c>
      <c r="B140" s="66" t="inlineStr">
        <is>
          <t>Export rate constant of receptor from Golgi/ER/Nucleus Complex to plasma membrane</t>
        </is>
      </c>
      <c r="C140" s="35" t="inlineStr">
        <is>
          <t>Bulseco, Thesis 1996</t>
        </is>
      </c>
      <c r="D140" s="4" t="n"/>
      <c r="E140" s="5" t="inlineStr">
        <is>
          <t>M2R</t>
        </is>
      </c>
      <c r="F140" s="4" t="inlineStr">
        <is>
          <t>Radiolabelling</t>
        </is>
      </c>
      <c r="G140" s="4" t="inlineStr">
        <is>
          <t>CHO cells</t>
        </is>
      </c>
      <c r="H140" s="8" t="inlineStr">
        <is>
          <t>0.035265 ± 0.033735</t>
        </is>
      </c>
      <c r="L140" t="inlineStr">
        <is>
          <t>SR5</t>
        </is>
      </c>
      <c r="M140" t="inlineStr">
        <is>
          <t>https://doi.org/10.1016/s0026-895x(25)08679-1</t>
        </is>
      </c>
    </row>
    <row r="141">
      <c r="A141" s="57" t="inlineStr">
        <is>
          <t>Kexpt</t>
        </is>
      </c>
      <c r="B141" s="66" t="inlineStr">
        <is>
          <t>Export rate constant of receptor from Golgi/ER/Nucleus Complex to plasma membrane</t>
        </is>
      </c>
      <c r="C141" s="35" t="inlineStr">
        <is>
          <t>Hirschberg, K et al. 1998</t>
        </is>
      </c>
      <c r="D141" s="4" t="n"/>
      <c r="E141" s="34" t="inlineStr">
        <is>
          <t>VSVG-GFP</t>
        </is>
      </c>
      <c r="F141" s="4" t="inlineStr">
        <is>
          <t>Fluorescence Microscopy</t>
        </is>
      </c>
      <c r="G141" s="4" t="inlineStr">
        <is>
          <t>COS7 cells</t>
        </is>
      </c>
      <c r="H141" s="8" t="inlineStr">
        <is>
          <t>0.0303 ± 0.0026</t>
        </is>
      </c>
      <c r="L141" t="inlineStr">
        <is>
          <t>SR19</t>
        </is>
      </c>
      <c r="M141" t="inlineStr">
        <is>
          <t>https://doi.org/10.1083/jcb.143.6.1485</t>
        </is>
      </c>
    </row>
    <row r="142">
      <c r="A142" s="1" t="n"/>
      <c r="B142" s="1" t="n"/>
      <c r="C142" s="68" t="n"/>
      <c r="D142" s="4" t="n"/>
      <c r="E142" s="44" t="n"/>
      <c r="F142" s="1" t="n"/>
      <c r="G142" s="1" t="n"/>
      <c r="H142" s="9" t="n"/>
    </row>
    <row r="143">
      <c r="A143" s="52" t="inlineStr">
        <is>
          <t>Krgt</t>
        </is>
      </c>
      <c r="B143" s="67" t="inlineStr">
        <is>
          <t>Retrograde transport to Golgi</t>
        </is>
      </c>
      <c r="C143" s="35" t="inlineStr">
        <is>
          <t>Starr, et al., 2007</t>
        </is>
      </c>
      <c r="D143" s="4" t="n"/>
      <c r="E143" s="34" t="inlineStr">
        <is>
          <t>VSVG-GFP</t>
        </is>
      </c>
      <c r="F143" s="4" t="inlineStr">
        <is>
          <t>Fluorescence microscopy</t>
        </is>
      </c>
      <c r="G143" s="4" t="inlineStr">
        <is>
          <t>Hela Cells</t>
        </is>
      </c>
      <c r="H143" s="8" t="inlineStr">
        <is>
          <t>0.0375 ± 0.0175</t>
        </is>
      </c>
      <c r="L143" t="inlineStr">
        <is>
          <t>SR47</t>
        </is>
      </c>
      <c r="M143" t="inlineStr">
        <is>
          <t>https://doi.org/10.1111/j.1600-0854.2007.00607.x</t>
        </is>
      </c>
    </row>
    <row r="144">
      <c r="A144" s="52" t="inlineStr">
        <is>
          <t>Krgt</t>
        </is>
      </c>
      <c r="B144" s="67" t="inlineStr">
        <is>
          <t>Retrograde transport to Golgi</t>
        </is>
      </c>
      <c r="C144" s="35" t="inlineStr">
        <is>
          <t>Ure, et al., 1997</t>
        </is>
      </c>
      <c r="D144" s="4" t="n"/>
      <c r="E144" s="5" t="inlineStr">
        <is>
          <t>INGF</t>
        </is>
      </c>
      <c r="F144" s="4" t="inlineStr">
        <is>
          <t>Radiolabelling</t>
        </is>
      </c>
      <c r="G144" s="4" t="inlineStr">
        <is>
          <t>Rat Sympathetic Neurons</t>
        </is>
      </c>
      <c r="H144" s="8" t="inlineStr">
        <is>
          <t>0.00233 ± 7.0E-5</t>
        </is>
      </c>
      <c r="L144" t="inlineStr">
        <is>
          <t>SR52</t>
        </is>
      </c>
      <c r="M144" t="inlineStr">
        <is>
          <t>https://doi.org/10.1523/jneurosci.17-04-01282.1997</t>
        </is>
      </c>
    </row>
    <row r="145">
      <c r="A145" s="52" t="inlineStr">
        <is>
          <t>Krgt</t>
        </is>
      </c>
      <c r="B145" s="67" t="inlineStr">
        <is>
          <t>Retrograde transport to Golgi</t>
        </is>
      </c>
      <c r="C145" s="35" t="inlineStr">
        <is>
          <t>Hirschberg, K et al. 1998</t>
        </is>
      </c>
      <c r="D145" s="4" t="n"/>
      <c r="E145" s="34" t="inlineStr">
        <is>
          <t>VSVG-GFP</t>
        </is>
      </c>
      <c r="F145" s="4" t="inlineStr">
        <is>
          <t>Fluorescence Microscopy</t>
        </is>
      </c>
      <c r="G145" s="4" t="inlineStr">
        <is>
          <t>COS7 cells</t>
        </is>
      </c>
      <c r="H145" s="8" t="inlineStr">
        <is>
          <t>0.0284 ± 0.002</t>
        </is>
      </c>
      <c r="L145" t="inlineStr">
        <is>
          <t>SR19</t>
        </is>
      </c>
      <c r="M145" t="inlineStr">
        <is>
          <t>https://doi.org/10.1083/jcb.143.6.1485</t>
        </is>
      </c>
    </row>
    <row r="146">
      <c r="A146" s="52" t="inlineStr">
        <is>
          <t>Krgt</t>
        </is>
      </c>
      <c r="B146" s="67" t="inlineStr">
        <is>
          <t>Retrograde transport to Golgi</t>
        </is>
      </c>
      <c r="C146" s="149" t="inlineStr">
        <is>
          <t>Buser et al., 2022</t>
        </is>
      </c>
      <c r="D146" s="4" t="n"/>
      <c r="E146" s="110" t="inlineStr">
        <is>
          <t>EGFP-CDMPR</t>
        </is>
      </c>
      <c r="F146" s="4" t="inlineStr">
        <is>
          <t>Fluorescence Microscopy</t>
        </is>
      </c>
      <c r="G146" s="4" t="inlineStr">
        <is>
          <t>Hela Cells</t>
        </is>
      </c>
      <c r="H146" s="8" t="inlineStr">
        <is>
          <t>0.94796 ± 0.00</t>
        </is>
      </c>
      <c r="L146" t="inlineStr">
        <is>
          <t>SR6</t>
        </is>
      </c>
      <c r="M146" t="inlineStr">
        <is>
          <t>https://doi.org/10.26508/lsa.202101269</t>
        </is>
      </c>
    </row>
    <row r="147">
      <c r="A147" s="52" t="inlineStr">
        <is>
          <t>Krgt</t>
        </is>
      </c>
      <c r="B147" s="67" t="inlineStr">
        <is>
          <t>Retrograde transport to Golgi</t>
        </is>
      </c>
      <c r="C147" s="149" t="inlineStr">
        <is>
          <t>Buser et al., 2022</t>
        </is>
      </c>
      <c r="D147" s="4" t="n"/>
      <c r="E147" s="110" t="inlineStr">
        <is>
          <t>EGFP-CDMPR</t>
        </is>
      </c>
      <c r="F147" s="4" t="inlineStr">
        <is>
          <t>Fluorescence Microscopy</t>
        </is>
      </c>
      <c r="G147" s="4" t="inlineStr">
        <is>
          <t>Hela Cells</t>
        </is>
      </c>
      <c r="H147" s="8" t="inlineStr">
        <is>
          <t>0.043513 ± 0.00</t>
        </is>
      </c>
      <c r="L147" t="inlineStr">
        <is>
          <t>SR6</t>
        </is>
      </c>
      <c r="M147" t="inlineStr">
        <is>
          <t>https://doi.org/10.26508/lsa.202101269</t>
        </is>
      </c>
    </row>
    <row r="148">
      <c r="A148" s="52" t="inlineStr">
        <is>
          <t>Krgt</t>
        </is>
      </c>
      <c r="B148" s="67" t="inlineStr">
        <is>
          <t>Retrograde transport to Golgi</t>
        </is>
      </c>
      <c r="C148" s="149" t="inlineStr">
        <is>
          <t>Buser et al., 2022</t>
        </is>
      </c>
      <c r="D148" s="4" t="n"/>
      <c r="E148" s="110" t="inlineStr">
        <is>
          <t>EGFP-CDMPR</t>
        </is>
      </c>
      <c r="F148" s="4" t="inlineStr">
        <is>
          <t>Fluorescence Microscopy</t>
        </is>
      </c>
      <c r="G148" s="4" t="inlineStr">
        <is>
          <t>Hela Cells</t>
        </is>
      </c>
      <c r="H148" s="8" t="inlineStr">
        <is>
          <t>0.1815007 ± 0.00</t>
        </is>
      </c>
      <c r="L148" t="inlineStr">
        <is>
          <t>SR6</t>
        </is>
      </c>
      <c r="M148" t="inlineStr">
        <is>
          <t>https://doi.org/10.26508/lsa.202101269</t>
        </is>
      </c>
    </row>
    <row r="149" ht="60" customHeight="1">
      <c r="A149" s="52" t="inlineStr">
        <is>
          <t>Krgt</t>
        </is>
      </c>
      <c r="B149" s="67" t="inlineStr">
        <is>
          <t>Retrograde transport to Golgi</t>
        </is>
      </c>
      <c r="C149" s="149" t="inlineStr">
        <is>
          <t>Buser et al., 2022</t>
        </is>
      </c>
      <c r="D149" s="4" t="n"/>
      <c r="E149" s="110" t="inlineStr">
        <is>
          <t>EGFP-CDMPR</t>
        </is>
      </c>
      <c r="F149" s="4" t="inlineStr">
        <is>
          <t>Fluorescence Microscopy</t>
        </is>
      </c>
      <c r="G149" s="4" t="inlineStr">
        <is>
          <t>Hela Cells</t>
        </is>
      </c>
      <c r="H149" s="8" t="inlineStr">
        <is>
          <t>0.473003 ± 0.00</t>
        </is>
      </c>
      <c r="L149" t="inlineStr">
        <is>
          <t>SR6</t>
        </is>
      </c>
      <c r="M149" t="inlineStr">
        <is>
          <t>https://doi.org/10.26508/lsa.202101269</t>
        </is>
      </c>
    </row>
    <row r="150" ht="60" customHeight="1">
      <c r="A150" s="1" t="n"/>
      <c r="B150" s="1" t="n"/>
      <c r="C150" s="68" t="n"/>
      <c r="D150" s="4" t="n"/>
      <c r="E150" s="44" t="n"/>
      <c r="F150" s="1" t="n"/>
      <c r="G150" s="1" t="n"/>
      <c r="H150" s="9" t="n"/>
    </row>
    <row r="151" ht="60" customHeight="1">
      <c r="A151" s="57" t="inlineStr">
        <is>
          <t>Kdeg</t>
        </is>
      </c>
      <c r="B151" s="66" t="inlineStr">
        <is>
          <t>Total receptor degradation rate (or based on the schematic, it means receptor trafficking to lysosome?)</t>
        </is>
      </c>
      <c r="C151" s="50" t="inlineStr">
        <is>
          <t>Lee, et al., 2021</t>
        </is>
      </c>
      <c r="D151" s="4" t="n"/>
      <c r="E151" s="172" t="inlineStr">
        <is>
          <t>α1AR</t>
        </is>
      </c>
      <c r="F151" s="3" t="inlineStr">
        <is>
          <t>SNAP-CHX-Chase Assays</t>
        </is>
      </c>
      <c r="G151" s="3" t="inlineStr">
        <is>
          <t>HEK293 Cells</t>
        </is>
      </c>
      <c r="H151" s="11" t="inlineStr">
        <is>
          <t>0.008708 ± 0.001488</t>
        </is>
      </c>
      <c r="L151" t="inlineStr">
        <is>
          <t>SR25</t>
        </is>
      </c>
      <c r="M151" t="inlineStr">
        <is>
          <t>https://doi.org/10.1177/2472555220979793</t>
        </is>
      </c>
    </row>
    <row r="152" ht="60" customHeight="1">
      <c r="A152" s="57" t="inlineStr">
        <is>
          <t>Kdeg</t>
        </is>
      </c>
      <c r="B152" s="66" t="inlineStr">
        <is>
          <t>Total receptor degradation rate (or based on the schematic, it means receptor trafficking to lysosome?)</t>
        </is>
      </c>
      <c r="C152" s="107" t="inlineStr">
        <is>
          <t>Lee, et al., 2021</t>
        </is>
      </c>
      <c r="D152" s="7" t="n"/>
      <c r="E152" s="173" t="inlineStr">
        <is>
          <t>α2AR</t>
        </is>
      </c>
      <c r="F152" s="7" t="inlineStr">
        <is>
          <t>SNAP-CHX-Chase Assays</t>
        </is>
      </c>
      <c r="G152" s="7" t="inlineStr">
        <is>
          <t>HEK293 Cells</t>
        </is>
      </c>
      <c r="H152" s="8" t="inlineStr">
        <is>
          <t>0.005700 ± 0.0006110</t>
        </is>
      </c>
      <c r="L152" t="inlineStr">
        <is>
          <t>SR25</t>
        </is>
      </c>
      <c r="M152" t="inlineStr">
        <is>
          <t>https://doi.org/10.1177/2472555220979793</t>
        </is>
      </c>
    </row>
    <row r="153" ht="60" customHeight="1">
      <c r="A153" s="57" t="inlineStr">
        <is>
          <t>Kdeg</t>
        </is>
      </c>
      <c r="B153" s="66" t="inlineStr">
        <is>
          <t>Total receptor degradation rate (or based on the schematic, it means receptor trafficking to lysosome?)</t>
        </is>
      </c>
      <c r="C153" s="107" t="inlineStr">
        <is>
          <t>Lee, et al., 2021</t>
        </is>
      </c>
      <c r="D153" s="7" t="n"/>
      <c r="E153" s="4" t="inlineStr">
        <is>
          <t>βXAR</t>
        </is>
      </c>
      <c r="F153" s="7" t="inlineStr">
        <is>
          <t>SNAP-CHX-Chase Assays</t>
        </is>
      </c>
      <c r="G153" s="7" t="inlineStr">
        <is>
          <t>HEK293 Cells</t>
        </is>
      </c>
      <c r="H153" s="8" t="inlineStr">
        <is>
          <t>0.005965 ± 0.0009856</t>
        </is>
      </c>
      <c r="L153" t="inlineStr">
        <is>
          <t>SR25</t>
        </is>
      </c>
      <c r="M153" t="inlineStr">
        <is>
          <t>https://doi.org/10.1177/2472555220979793</t>
        </is>
      </c>
    </row>
    <row r="154" ht="60" customHeight="1">
      <c r="A154" s="57" t="inlineStr">
        <is>
          <t>Kdeg</t>
        </is>
      </c>
      <c r="B154" s="66" t="inlineStr">
        <is>
          <t>Total receptor degradation rate (or based on the schematic, it means receptor trafficking to lysosome?)</t>
        </is>
      </c>
      <c r="C154" s="107" t="inlineStr">
        <is>
          <t>Lee, et al., 2021</t>
        </is>
      </c>
      <c r="D154" s="7" t="n"/>
      <c r="E154" s="173" t="inlineStr">
        <is>
          <t>5-HTX</t>
        </is>
      </c>
      <c r="F154" s="7" t="inlineStr">
        <is>
          <t>SNAP-CHX-Chase Assays</t>
        </is>
      </c>
      <c r="G154" s="7" t="inlineStr">
        <is>
          <t>HEK293 Cells</t>
        </is>
      </c>
      <c r="H154" s="8" t="inlineStr">
        <is>
          <t>0.004507 ± 0.0006560</t>
        </is>
      </c>
      <c r="L154" t="inlineStr">
        <is>
          <t>SR25</t>
        </is>
      </c>
      <c r="M154" t="inlineStr">
        <is>
          <t>https://doi.org/10.1177/2472555220979793</t>
        </is>
      </c>
    </row>
    <row r="155" ht="60" customHeight="1">
      <c r="A155" s="57" t="inlineStr">
        <is>
          <t>Kdeg</t>
        </is>
      </c>
      <c r="B155" s="66" t="inlineStr">
        <is>
          <t>Total receptor degradation rate (or based on the schematic, it means receptor trafficking to lysosome?)</t>
        </is>
      </c>
      <c r="C155" s="107" t="inlineStr">
        <is>
          <t>Lee, et al., 2021</t>
        </is>
      </c>
      <c r="D155" s="7" t="n"/>
      <c r="E155" s="173" t="inlineStr">
        <is>
          <t>SSTR</t>
        </is>
      </c>
      <c r="F155" s="7" t="inlineStr">
        <is>
          <t>SNAP-CHX-Chase Assays</t>
        </is>
      </c>
      <c r="G155" s="7" t="inlineStr">
        <is>
          <t>HEK293 Cells</t>
        </is>
      </c>
      <c r="H155" s="8" t="inlineStr">
        <is>
          <t>0.007453 ± 0.001447</t>
        </is>
      </c>
      <c r="L155" t="inlineStr">
        <is>
          <t>SR25</t>
        </is>
      </c>
      <c r="M155" t="inlineStr">
        <is>
          <t>https://doi.org/10.1177/2472555220979793</t>
        </is>
      </c>
    </row>
    <row r="156" ht="60" customHeight="1">
      <c r="A156" s="57" t="inlineStr">
        <is>
          <t>Kdeg</t>
        </is>
      </c>
      <c r="B156" s="66" t="inlineStr">
        <is>
          <t>Total receptor degradation rate (or based on the schematic, it means receptor trafficking to lysosome?)</t>
        </is>
      </c>
      <c r="C156" s="107" t="inlineStr">
        <is>
          <t>Lee, et al., 2021</t>
        </is>
      </c>
      <c r="D156" s="7" t="n"/>
      <c r="E156" s="173" t="inlineStr">
        <is>
          <t>CXCR</t>
        </is>
      </c>
      <c r="F156" s="7" t="inlineStr">
        <is>
          <t>SNAP-CHX-Chase Assays</t>
        </is>
      </c>
      <c r="G156" s="7" t="inlineStr">
        <is>
          <t>HEK293 Cells</t>
        </is>
      </c>
      <c r="H156" s="8" t="inlineStr">
        <is>
          <t>0.006515 ± 0.001183</t>
        </is>
      </c>
      <c r="L156" t="inlineStr">
        <is>
          <t>SR25</t>
        </is>
      </c>
      <c r="M156" t="inlineStr">
        <is>
          <t>https://doi.org/10.1177/2472555220979793</t>
        </is>
      </c>
    </row>
    <row r="157" ht="60" customHeight="1">
      <c r="A157" s="57" t="inlineStr">
        <is>
          <t>Kdeg</t>
        </is>
      </c>
      <c r="B157" s="66" t="inlineStr">
        <is>
          <t>Total receptor degradation rate (or based on the schematic, it means receptor trafficking to lysosome?)</t>
        </is>
      </c>
      <c r="C157" s="35" t="inlineStr">
        <is>
          <t>S. L. Shyng &amp; M. M. Salpeter 1989</t>
        </is>
      </c>
      <c r="D157" s="4" t="n"/>
      <c r="E157" s="5" t="inlineStr">
        <is>
          <t>AChR</t>
        </is>
      </c>
      <c r="F157" s="4" t="inlineStr">
        <is>
          <t>TEM autoradiography</t>
        </is>
      </c>
      <c r="G157" s="4" t="inlineStr">
        <is>
          <t>adult female white mice</t>
        </is>
      </c>
      <c r="H157" s="8" t="inlineStr">
        <is>
          <t>0.00042675 ± 0.00007635</t>
        </is>
      </c>
      <c r="L157" t="inlineStr">
        <is>
          <t>SR45</t>
        </is>
      </c>
      <c r="M157" t="inlineStr">
        <is>
          <t>https://doi.org/10.1083/jcb.108.2.647</t>
        </is>
      </c>
    </row>
    <row r="158" ht="60" customHeight="1">
      <c r="A158" s="57" t="inlineStr">
        <is>
          <t>Kdeg</t>
        </is>
      </c>
      <c r="B158" s="66" t="inlineStr">
        <is>
          <t>Total receptor degradation rate (or based on the schematic, it means receptor trafficking to lysosome?)</t>
        </is>
      </c>
      <c r="C158" s="76" t="inlineStr">
        <is>
          <t>Merlie et al., 1979</t>
        </is>
      </c>
      <c r="D158" s="4" t="n"/>
      <c r="E158" s="5" t="inlineStr">
        <is>
          <t>AChR</t>
        </is>
      </c>
      <c r="F158" s="4" t="inlineStr">
        <is>
          <t>Radiolabelling</t>
        </is>
      </c>
      <c r="G158" s="4" t="inlineStr">
        <is>
          <t>Female Lewis rat</t>
        </is>
      </c>
      <c r="H158" s="8" t="inlineStr">
        <is>
          <t>0.000680 ± 0.00</t>
        </is>
      </c>
      <c r="L158" t="inlineStr">
        <is>
          <t>SR34</t>
        </is>
      </c>
      <c r="M158" t="inlineStr">
        <is>
          <t>https://doi.org/10.1016/s0021-9258(18)50365-3</t>
        </is>
      </c>
    </row>
    <row r="159" ht="60" customHeight="1">
      <c r="A159" s="57" t="inlineStr">
        <is>
          <t>Kdeg</t>
        </is>
      </c>
      <c r="B159" s="66" t="inlineStr">
        <is>
          <t>Total receptor degradation rate (or based on the schematic, it means receptor trafficking to lysosome?)</t>
        </is>
      </c>
      <c r="C159" s="71" t="inlineStr">
        <is>
          <t>Vicentic et al., 2000</t>
        </is>
      </c>
      <c r="D159" s="4" t="n"/>
      <c r="E159" s="5" t="inlineStr">
        <is>
          <t>5-HT1A</t>
        </is>
      </c>
      <c r="F159" s="4" t="inlineStr">
        <is>
          <t>Radiolabelling</t>
        </is>
      </c>
      <c r="G159" s="4" t="inlineStr">
        <is>
          <t>Pregnant Sprague–Dawley rat</t>
        </is>
      </c>
      <c r="H159" s="8" t="inlineStr">
        <is>
          <t>0.000105 ± 0.00</t>
        </is>
      </c>
      <c r="L159" t="inlineStr">
        <is>
          <t>SR53</t>
        </is>
      </c>
      <c r="M159" t="inlineStr">
        <is>
          <t>https://doi.org/10.1016/S0006-8993(00)02668-8</t>
        </is>
      </c>
    </row>
    <row r="160" ht="60" customHeight="1">
      <c r="A160" s="57" t="inlineStr">
        <is>
          <t>Kdeg</t>
        </is>
      </c>
      <c r="B160" s="66" t="inlineStr">
        <is>
          <t>Total receptor degradation rate (or based on the schematic, it means receptor trafficking to lysosome?)</t>
        </is>
      </c>
      <c r="C160" s="170" t="inlineStr">
        <is>
          <t>Vicentic et al., 2000</t>
        </is>
      </c>
      <c r="D160" s="171" t="n"/>
      <c r="E160" s="5" t="inlineStr">
        <is>
          <t>5-HT2A</t>
        </is>
      </c>
      <c r="F160" s="5" t="inlineStr">
        <is>
          <t>Radiolabelling</t>
        </is>
      </c>
      <c r="G160" s="5" t="inlineStr">
        <is>
          <t>Pregnant Sprague–Dawley rat</t>
        </is>
      </c>
      <c r="H160" s="109" t="inlineStr">
        <is>
          <t>0.000102 ± 0.00</t>
        </is>
      </c>
      <c r="I160" s="141" t="n"/>
      <c r="J160" s="141" t="n"/>
      <c r="L160" t="inlineStr">
        <is>
          <t>SR53</t>
        </is>
      </c>
      <c r="M160" t="inlineStr">
        <is>
          <t>https://doi.org/10.1016/S0006-8993(00)02668-8</t>
        </is>
      </c>
    </row>
    <row r="161" ht="60" customHeight="1">
      <c r="A161" s="57" t="inlineStr">
        <is>
          <t>Kdeg</t>
        </is>
      </c>
      <c r="B161" s="66" t="inlineStr">
        <is>
          <t>Total receptor degradation rate (or based on the schematic, it means receptor trafficking to lysosome?)</t>
        </is>
      </c>
      <c r="C161" s="35" t="inlineStr">
        <is>
          <t>Liang &amp; Fishman, 2004</t>
        </is>
      </c>
      <c r="D161" s="4" t="n"/>
      <c r="E161" s="4" t="inlineStr">
        <is>
          <t>β2AR</t>
        </is>
      </c>
      <c r="F161" s="4" t="inlineStr">
        <is>
          <t>Radiolabelling</t>
        </is>
      </c>
      <c r="G161" s="4" t="inlineStr">
        <is>
          <t>HEK293 Cells</t>
        </is>
      </c>
      <c r="H161" s="8" t="inlineStr">
        <is>
          <t>0.00177 ± 0.00</t>
        </is>
      </c>
      <c r="L161" t="inlineStr">
        <is>
          <t>SR28</t>
        </is>
      </c>
      <c r="M161" t="inlineStr">
        <is>
          <t>https://doi.org/10.1074/jbc.M406501200</t>
        </is>
      </c>
    </row>
    <row r="162">
      <c r="A162" s="57" t="inlineStr">
        <is>
          <t>Kdeg</t>
        </is>
      </c>
      <c r="B162" s="66" t="inlineStr">
        <is>
          <t>Total receptor degradation rate (or based on the schematic, it means receptor trafficking to lysosome?)</t>
        </is>
      </c>
      <c r="C162" s="76" t="inlineStr">
        <is>
          <t>Fambrough et al., 1979</t>
        </is>
      </c>
      <c r="D162" s="4" t="n"/>
      <c r="E162" s="5" t="inlineStr">
        <is>
          <t>AChR</t>
        </is>
      </c>
      <c r="F162" s="4" t="inlineStr">
        <is>
          <t>Radiolabelling</t>
        </is>
      </c>
      <c r="G162" s="4" t="inlineStr">
        <is>
          <t>Chicken leg skeletal muscle</t>
        </is>
      </c>
      <c r="H162" s="8" t="inlineStr">
        <is>
          <t>0.00064 ± 0.00</t>
        </is>
      </c>
      <c r="L162" t="inlineStr">
        <is>
          <t>SR11</t>
        </is>
      </c>
      <c r="M162" t="inlineStr">
        <is>
          <t>https://doi.org/10.1152/physrev.1979.59.1.165</t>
        </is>
      </c>
    </row>
    <row r="163">
      <c r="A163" s="57" t="inlineStr">
        <is>
          <t>Kdeg</t>
        </is>
      </c>
      <c r="B163" s="66" t="inlineStr">
        <is>
          <t>Total receptor degradation rate (or based on the schematic, it means receptor trafficking to lysosome?)</t>
        </is>
      </c>
      <c r="C163" s="76" t="inlineStr">
        <is>
          <t>Hirschberg, K et al. 1998</t>
        </is>
      </c>
      <c r="D163" s="4" t="n"/>
      <c r="E163" s="34" t="inlineStr">
        <is>
          <t>VSVG-GFP</t>
        </is>
      </c>
      <c r="F163" s="4" t="inlineStr">
        <is>
          <t>Fluorescence Microscopy</t>
        </is>
      </c>
      <c r="G163" s="4" t="inlineStr">
        <is>
          <t>COS-7 Cells</t>
        </is>
      </c>
      <c r="H163" s="8" t="inlineStr">
        <is>
          <t>0.00255 ± 0.00034</t>
        </is>
      </c>
      <c r="L163" t="inlineStr">
        <is>
          <t>SR19</t>
        </is>
      </c>
      <c r="M163" t="inlineStr">
        <is>
          <t>https://doi.org/10.1083/jcb.143.6.1485</t>
        </is>
      </c>
    </row>
  </sheetData>
  <mergeCells count="1">
    <mergeCell ref="K11:K1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workbookViewId="0">
      <selection activeCell="B2" sqref="B2:H20"/>
    </sheetView>
  </sheetViews>
  <sheetFormatPr baseColWidth="8" defaultColWidth="9" defaultRowHeight="15"/>
  <cols>
    <col width="9" customWidth="1" style="14" min="1" max="1"/>
    <col width="14.42578125" customWidth="1" style="14" min="2" max="2"/>
    <col width="41.42578125" customWidth="1" style="14" min="3" max="3"/>
    <col width="20.7109375" customWidth="1" style="14" min="4" max="4"/>
    <col width="28.7109375" customWidth="1" style="14" min="5" max="5"/>
    <col width="30.140625" customWidth="1" style="14" min="6" max="6"/>
    <col width="22" customWidth="1" style="14" min="7" max="7"/>
    <col width="30.140625" customWidth="1" style="14" min="8" max="8"/>
    <col width="9" customWidth="1" style="14" min="9" max="16384"/>
  </cols>
  <sheetData>
    <row r="1" ht="15.75" customHeight="1" thickBot="1"/>
    <row r="2">
      <c r="B2" s="18" t="inlineStr">
        <is>
          <t>Symbol (Units)</t>
        </is>
      </c>
      <c r="C2" s="19" t="inlineStr">
        <is>
          <t>Parameter Description</t>
        </is>
      </c>
      <c r="D2" s="19" t="inlineStr">
        <is>
          <t>Value</t>
        </is>
      </c>
      <c r="E2" s="19" t="inlineStr">
        <is>
          <t>Reference</t>
        </is>
      </c>
      <c r="F2" s="19" t="inlineStr">
        <is>
          <t>Receptor (GPCR type)</t>
        </is>
      </c>
      <c r="G2" s="19" t="inlineStr">
        <is>
          <t>Method</t>
        </is>
      </c>
      <c r="H2" s="20" t="inlineStr">
        <is>
          <t>Cell/Protein Systems</t>
        </is>
      </c>
    </row>
    <row r="3" ht="18" customHeight="1">
      <c r="B3" s="21" t="inlineStr">
        <is>
          <t>Kon (M-1Min-1)</t>
        </is>
      </c>
      <c r="C3" s="175" t="inlineStr">
        <is>
          <t>OXT:OXTR Binding Affinity</t>
        </is>
      </c>
      <c r="D3" s="16" t="inlineStr">
        <is>
          <t>6.8 x 10E5</t>
        </is>
      </c>
      <c r="E3" s="175" t="inlineStr">
        <is>
          <t>S. Phaneuf et al., 1997</t>
        </is>
      </c>
      <c r="F3" s="175" t="inlineStr">
        <is>
          <t>Oxytocin receptor</t>
        </is>
      </c>
      <c r="G3" s="175" t="inlineStr">
        <is>
          <t>Radiolabelling</t>
        </is>
      </c>
      <c r="H3" s="176" t="inlineStr">
        <is>
          <t>Human myometrial cells</t>
        </is>
      </c>
    </row>
    <row r="4" ht="18" customHeight="1">
      <c r="B4" s="21" t="inlineStr">
        <is>
          <t>Koff (Min-1)</t>
        </is>
      </c>
      <c r="C4" s="178" t="n"/>
      <c r="D4" s="16" t="n">
        <v>0.0011</v>
      </c>
      <c r="E4" s="178" t="n"/>
      <c r="F4" s="178" t="n"/>
      <c r="G4" s="178" t="n"/>
      <c r="H4" s="179" t="n"/>
    </row>
    <row r="5">
      <c r="B5" s="21" t="inlineStr">
        <is>
          <t>Kd</t>
        </is>
      </c>
      <c r="C5" s="177" t="n"/>
      <c r="D5" s="16" t="inlineStr">
        <is>
          <t>1.6 nM</t>
        </is>
      </c>
      <c r="E5" s="177" t="n"/>
      <c r="F5" s="177" t="n"/>
      <c r="G5" s="177" t="n"/>
      <c r="H5" s="180" t="n"/>
    </row>
    <row r="6" ht="18" customHeight="1">
      <c r="B6" s="21" t="inlineStr">
        <is>
          <t>Kon (M-1Min-1)</t>
        </is>
      </c>
      <c r="C6" s="175" t="inlineStr">
        <is>
          <t>OXT:OXTR Binding Affinity</t>
        </is>
      </c>
      <c r="D6" s="16" t="inlineStr">
        <is>
          <t>8.8 x 10E6</t>
        </is>
      </c>
      <c r="E6" s="175" t="inlineStr">
        <is>
          <t>D. Gulliver, 2020</t>
        </is>
      </c>
      <c r="F6" s="175" t="inlineStr">
        <is>
          <t>Oxytocin receptor</t>
        </is>
      </c>
      <c r="G6" s="175" t="inlineStr">
        <is>
          <t>Radiolabelling</t>
        </is>
      </c>
      <c r="H6" s="176" t="inlineStr">
        <is>
          <t>OXTR Tranfected HEK293 Cells</t>
        </is>
      </c>
    </row>
    <row r="7" ht="18" customHeight="1">
      <c r="B7" s="21" t="inlineStr">
        <is>
          <t>Koff (Min-1)</t>
        </is>
      </c>
      <c r="C7" s="178" t="n"/>
      <c r="D7" s="16" t="n">
        <v>0.005</v>
      </c>
      <c r="E7" s="178" t="n"/>
      <c r="F7" s="178" t="n"/>
      <c r="G7" s="178" t="n"/>
      <c r="H7" s="179" t="n"/>
    </row>
    <row r="8">
      <c r="B8" s="21" t="inlineStr">
        <is>
          <t>Kd</t>
        </is>
      </c>
      <c r="C8" s="177" t="n"/>
      <c r="D8" s="16" t="inlineStr">
        <is>
          <t>0.56 nM</t>
        </is>
      </c>
      <c r="E8" s="177" t="n"/>
      <c r="F8" s="177" t="n"/>
      <c r="G8" s="177" t="n"/>
      <c r="H8" s="180" t="n"/>
    </row>
    <row r="9" ht="35.25" customHeight="1">
      <c r="B9" s="21" t="inlineStr">
        <is>
          <t>Kong (M-1Min-1)</t>
        </is>
      </c>
      <c r="C9" s="175" t="inlineStr">
        <is>
          <t>OXR:Gprotein binding affinity</t>
        </is>
      </c>
      <c r="D9" s="17" t="n">
        <v>1340000</v>
      </c>
      <c r="E9" s="175" t="inlineStr">
        <is>
          <t>O. S. Ilyaskina et al., 2017</t>
        </is>
      </c>
      <c r="F9" s="175" t="inlineStr">
        <is>
          <t>Muscarinic Receptor (M3R, M1R)</t>
        </is>
      </c>
      <c r="G9" s="175" t="inlineStr">
        <is>
          <t>Quantitative FRET</t>
        </is>
      </c>
      <c r="H9" s="176" t="inlineStr">
        <is>
          <t>HEK293 Cells</t>
        </is>
      </c>
    </row>
    <row r="10" ht="18" customHeight="1">
      <c r="B10" s="21" t="inlineStr">
        <is>
          <t>Koffg (Min-1)</t>
        </is>
      </c>
      <c r="C10" s="177" t="n"/>
      <c r="D10" s="16" t="inlineStr">
        <is>
          <t>0.54 ± 0.12</t>
        </is>
      </c>
      <c r="E10" s="177" t="n"/>
      <c r="F10" s="177" t="n"/>
      <c r="G10" s="177" t="n"/>
      <c r="H10" s="180" t="n"/>
    </row>
    <row r="11" ht="18" customHeight="1">
      <c r="B11" s="21" t="inlineStr">
        <is>
          <t>Kphs (Min-1)</t>
        </is>
      </c>
      <c r="C11" s="175" t="inlineStr">
        <is>
          <t>GRK-mediated phosphorylation &amp; dephosphorylation rate</t>
        </is>
      </c>
      <c r="D11" s="16" t="n">
        <v>0.6899999999999999</v>
      </c>
      <c r="E11" s="175" t="inlineStr">
        <is>
          <t>V. Iyer et al., 2006</t>
        </is>
      </c>
      <c r="F11" s="175" t="inlineStr">
        <is>
          <t>Beta2-adregenic</t>
        </is>
      </c>
      <c r="G11" s="175" t="inlineStr">
        <is>
          <t>Western Blot</t>
        </is>
      </c>
      <c r="H11" s="176" t="inlineStr">
        <is>
          <t>HEK293 cells</t>
        </is>
      </c>
    </row>
    <row r="12" ht="18" customHeight="1">
      <c r="B12" s="21" t="inlineStr">
        <is>
          <t>Kdephs (Min-1)</t>
        </is>
      </c>
      <c r="C12" s="177" t="n"/>
      <c r="D12" s="16" t="n">
        <v>0.0693</v>
      </c>
      <c r="E12" s="177" t="n"/>
      <c r="F12" s="177" t="n"/>
      <c r="G12" s="177" t="n"/>
      <c r="H12" s="180" t="n"/>
    </row>
    <row r="13" ht="18" customHeight="1">
      <c r="B13" s="21" t="inlineStr">
        <is>
          <t>Kact (S-1)</t>
        </is>
      </c>
      <c r="C13" s="175" t="inlineStr">
        <is>
          <t>Gprotein activation and inactivation</t>
        </is>
      </c>
      <c r="D13" s="16" t="n">
        <v>1.8</v>
      </c>
      <c r="E13" s="175" t="inlineStr">
        <is>
          <t>S. Mukhopadhyay et al., 1999</t>
        </is>
      </c>
      <c r="F13" s="175" t="inlineStr">
        <is>
          <t>M1 muscarinic cholinergic receptors</t>
        </is>
      </c>
      <c r="G13" s="175" t="inlineStr">
        <is>
          <t>Radiolabelling</t>
        </is>
      </c>
      <c r="H13" s="176" t="inlineStr">
        <is>
          <t>Purfied proteins and vesicles</t>
        </is>
      </c>
    </row>
    <row r="14" ht="18" customHeight="1">
      <c r="B14" s="21" t="inlineStr">
        <is>
          <t>Kinact (S-1)</t>
        </is>
      </c>
      <c r="C14" s="177" t="n"/>
      <c r="D14" s="16" t="inlineStr">
        <is>
          <t>9~12</t>
        </is>
      </c>
      <c r="E14" s="177" t="n"/>
      <c r="F14" s="177" t="n"/>
      <c r="G14" s="177" t="n"/>
      <c r="H14" s="180" t="n"/>
    </row>
    <row r="15" ht="18" customHeight="1">
      <c r="B15" s="21" t="inlineStr">
        <is>
          <t>Kba (S-1)</t>
        </is>
      </c>
      <c r="C15" s="175" t="inlineStr">
        <is>
          <t>OTR:Beta arrestin binding rate</t>
        </is>
      </c>
      <c r="D15" s="16" t="inlineStr">
        <is>
          <t>0.038 [0.034, 0.043]</t>
        </is>
      </c>
      <c r="E15" s="175" t="inlineStr">
        <is>
          <t>M. Busnelli et al., 2012</t>
        </is>
      </c>
      <c r="F15" s="175" t="inlineStr">
        <is>
          <t>Oxytocin Receptor</t>
        </is>
      </c>
      <c r="G15" s="175" t="inlineStr">
        <is>
          <t>BRET</t>
        </is>
      </c>
      <c r="H15" s="176" t="inlineStr">
        <is>
          <t>HEK cells</t>
        </is>
      </c>
    </row>
    <row r="16" ht="18" customHeight="1">
      <c r="B16" s="21" t="inlineStr">
        <is>
          <t>Kint (Min-1)</t>
        </is>
      </c>
      <c r="C16" s="175" t="inlineStr">
        <is>
          <t>Phosphorylated OTR internalization</t>
        </is>
      </c>
      <c r="D16" s="175" t="inlineStr">
        <is>
          <t>0.16-0.46</t>
        </is>
      </c>
      <c r="E16" s="175" t="inlineStr">
        <is>
          <t>M. P. Smith et al., 2006</t>
        </is>
      </c>
      <c r="F16" s="175" t="inlineStr">
        <is>
          <t>Oxytocin Receptor</t>
        </is>
      </c>
      <c r="G16" s="175" t="inlineStr">
        <is>
          <t>ELISA</t>
        </is>
      </c>
      <c r="H16" s="176" t="inlineStr">
        <is>
          <t>HEK293 cells</t>
        </is>
      </c>
    </row>
    <row r="17" ht="35.25" customHeight="1">
      <c r="B17" s="21" t="inlineStr">
        <is>
          <t>Kcons_int (Min-1)</t>
        </is>
      </c>
      <c r="C17" s="175" t="inlineStr">
        <is>
          <t>Constitutive OTR internalization</t>
        </is>
      </c>
      <c r="D17" s="16" t="inlineStr">
        <is>
          <t>0.011 [0.008, 0.013]</t>
        </is>
      </c>
      <c r="E17" s="175" t="inlineStr">
        <is>
          <t>M. Scarselli et al., 2009</t>
        </is>
      </c>
      <c r="F17" s="175" t="inlineStr">
        <is>
          <t>M3 Receptor</t>
        </is>
      </c>
      <c r="G17" s="175" t="inlineStr">
        <is>
          <t>Immunofluorescence imaging</t>
        </is>
      </c>
      <c r="H17" s="176" t="inlineStr">
        <is>
          <t>HeLa Cells</t>
        </is>
      </c>
    </row>
    <row r="18" ht="30" customHeight="1">
      <c r="B18" s="21" t="inlineStr">
        <is>
          <t>KrecEE (Min-1)</t>
        </is>
      </c>
      <c r="C18" s="175" t="inlineStr">
        <is>
          <t>OXTR recycling rate (back to surface)</t>
        </is>
      </c>
      <c r="D18" s="16" t="inlineStr">
        <is>
          <t>0.046-0.069</t>
        </is>
      </c>
      <c r="E18" s="13" t="inlineStr">
        <is>
          <t>F. Conti et al., 2009</t>
        </is>
      </c>
      <c r="F18" s="13" t="inlineStr">
        <is>
          <t>Oxytocin Receptor</t>
        </is>
      </c>
      <c r="G18" s="13" t="inlineStr">
        <is>
          <t>Immunofluorescence imaging</t>
        </is>
      </c>
      <c r="H18" s="23" t="inlineStr">
        <is>
          <t>Human myometrial cells</t>
        </is>
      </c>
    </row>
    <row r="19" ht="45" customHeight="1">
      <c r="B19" s="21" t="inlineStr">
        <is>
          <t>Kexpt (Min-1)</t>
        </is>
      </c>
      <c r="C19" s="175" t="inlineStr">
        <is>
          <t>Export rate constant of receptor from Golgi/ER/Nucleus Complex to plasma membrane</t>
        </is>
      </c>
      <c r="D19" s="16" t="n">
        <v>0.0011</v>
      </c>
      <c r="E19" s="13" t="inlineStr">
        <is>
          <t>M. Zhang, et al., 2016</t>
        </is>
      </c>
      <c r="F19" s="175" t="inlineStr">
        <is>
          <t>Alpha2AR</t>
        </is>
      </c>
      <c r="G19" s="175" t="inlineStr">
        <is>
          <t>Ligand binding</t>
        </is>
      </c>
      <c r="H19" s="176" t="inlineStr">
        <is>
          <t>HEK cells</t>
        </is>
      </c>
    </row>
    <row r="20" ht="30.75" customHeight="1" thickBot="1">
      <c r="B20" s="21" t="inlineStr">
        <is>
          <t>Kdeg (Min-1)</t>
        </is>
      </c>
      <c r="C20" s="24" t="inlineStr">
        <is>
          <t>Total receptor degradation rate</t>
        </is>
      </c>
      <c r="D20" s="25" t="inlineStr">
        <is>
          <t>0.0005-0.016</t>
        </is>
      </c>
      <c r="E20" s="26" t="inlineStr">
        <is>
          <t>K. Lee, et al., 2021</t>
        </is>
      </c>
      <c r="F20" s="26" t="inlineStr">
        <is>
          <t>ADRA1A and ADRB1</t>
        </is>
      </c>
      <c r="G20" s="26" t="inlineStr">
        <is>
          <t>SNAP-CHX-Chase Assays</t>
        </is>
      </c>
      <c r="H20" s="27" t="inlineStr">
        <is>
          <t>HEK cells</t>
        </is>
      </c>
    </row>
  </sheetData>
  <mergeCells count="25">
    <mergeCell ref="H9:H10"/>
    <mergeCell ref="E13:E14"/>
    <mergeCell ref="G13:G14"/>
    <mergeCell ref="H11:H12"/>
    <mergeCell ref="C9:C10"/>
    <mergeCell ref="H3:H5"/>
    <mergeCell ref="E9:E10"/>
    <mergeCell ref="C3:C5"/>
    <mergeCell ref="E3:E5"/>
    <mergeCell ref="C11:C12"/>
    <mergeCell ref="E11:E12"/>
    <mergeCell ref="C6:C8"/>
    <mergeCell ref="F6:F8"/>
    <mergeCell ref="F13:F14"/>
    <mergeCell ref="H13:H14"/>
    <mergeCell ref="F9:F10"/>
    <mergeCell ref="F3:F5"/>
    <mergeCell ref="F11:F12"/>
    <mergeCell ref="E6:E8"/>
    <mergeCell ref="C13:C14"/>
    <mergeCell ref="G9:G10"/>
    <mergeCell ref="H6:H8"/>
    <mergeCell ref="G3:G5"/>
    <mergeCell ref="G6:G8"/>
    <mergeCell ref="G11:G1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7:P48"/>
  <sheetViews>
    <sheetView topLeftCell="B4" workbookViewId="0">
      <selection activeCell="K23" sqref="K23"/>
    </sheetView>
  </sheetViews>
  <sheetFormatPr baseColWidth="8" defaultColWidth="11.42578125" defaultRowHeight="15"/>
  <sheetData>
    <row r="7">
      <c r="M7">
        <f>LN(2)/15</f>
        <v/>
      </c>
    </row>
    <row r="16">
      <c r="I16">
        <f>1/3.7</f>
        <v/>
      </c>
    </row>
    <row r="18">
      <c r="I18">
        <f>0.27/5</f>
        <v/>
      </c>
    </row>
    <row r="19">
      <c r="J19">
        <f>0.27/330</f>
        <v/>
      </c>
      <c r="K19">
        <f>EXP(8)</f>
        <v/>
      </c>
    </row>
    <row r="22">
      <c r="K22">
        <f>LN(2)/240</f>
        <v/>
      </c>
    </row>
    <row r="26">
      <c r="P26">
        <f>60*P25</f>
        <v/>
      </c>
    </row>
    <row r="38">
      <c r="I38">
        <f>LN(2)/8.6</f>
        <v/>
      </c>
      <c r="J38">
        <f>LN(2)/7.3</f>
        <v/>
      </c>
      <c r="K38">
        <f>LN(2)/9.9</f>
        <v/>
      </c>
    </row>
    <row r="40">
      <c r="J40" t="inlineStr">
        <is>
          <t>0.099-0.12</t>
        </is>
      </c>
    </row>
    <row r="42">
      <c r="K42">
        <f>LN(2)/3</f>
        <v/>
      </c>
    </row>
    <row r="48">
      <c r="J48">
        <f>LN(2)/5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Imoukhede Lab</dc:creator>
  <dcterms:created xmlns:dcterms="http://purl.org/dc/terms/" xmlns:xsi="http://www.w3.org/2001/XMLSchema-instance" xsi:type="dcterms:W3CDTF">2023-04-20T20:07:00Z</dcterms:created>
  <dcterms:modified xmlns:dcterms="http://purl.org/dc/terms/" xmlns:xsi="http://www.w3.org/2001/XMLSchema-instance" xsi:type="dcterms:W3CDTF">2026-10-30T18:52:18Z</dcterms:modified>
  <cp:lastModifiedBy>K. Lionel Tukei</cp:lastModifiedBy>
</cp:coreProperties>
</file>